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1"/>
  <workbookPr/>
  <mc:AlternateContent xmlns:mc="http://schemas.openxmlformats.org/markup-compatibility/2006">
    <mc:Choice Requires="x15">
      <x15ac:absPath xmlns:x15ac="http://schemas.microsoft.com/office/spreadsheetml/2010/11/ac" url="C:\Users\jucilene.siqueira\Downloads\"/>
    </mc:Choice>
  </mc:AlternateContent>
  <xr:revisionPtr revIDLastSave="63" documentId="13_ncr:1_{47ECBF1D-7197-44C2-8156-CF59FBEA2754}" xr6:coauthVersionLast="47" xr6:coauthVersionMax="47" xr10:uidLastSave="{E7930F45-0348-4308-B818-8426232F8D23}"/>
  <bookViews>
    <workbookView xWindow="-108" yWindow="-108" windowWidth="23256" windowHeight="12456" firstSheet="4" activeTab="6" xr2:uid="{00000000-000D-0000-FFFF-FFFF00000000}"/>
  </bookViews>
  <sheets>
    <sheet name="Dashboard" sheetId="1" r:id="rId1"/>
    <sheet name="Lançamentos" sheetId="2" r:id="rId2"/>
    <sheet name="Contas Fixas" sheetId="3" r:id="rId3"/>
    <sheet name="Cartões" sheetId="4" r:id="rId4"/>
    <sheet name="Compras Parceladas" sheetId="5" r:id="rId5"/>
    <sheet name="Dívidas" sheetId="6" r:id="rId6"/>
    <sheet name="Metas" sheetId="7" r:id="rId7"/>
    <sheet name="Planejamento Mensal" sheetId="8" r:id="rId8"/>
    <sheet name="Planejamento Anual" sheetId="9" r:id="rId9"/>
    <sheet name="Listas" sheetId="10" r:id="rId10"/>
  </sheets>
  <calcPr calcId="191028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2" i="2" l="1"/>
  <c r="A18" i="1"/>
  <c r="A19" i="1"/>
  <c r="A20" i="1"/>
  <c r="A21" i="1"/>
  <c r="A22" i="1"/>
  <c r="A23" i="1"/>
  <c r="A24" i="1"/>
  <c r="A25" i="1"/>
  <c r="A26" i="1"/>
  <c r="A27" i="1"/>
  <c r="A28" i="1"/>
  <c r="A17" i="1"/>
  <c r="B14" i="2"/>
  <c r="B13" i="2"/>
  <c r="B12" i="2"/>
  <c r="B11" i="2"/>
  <c r="B10" i="2"/>
  <c r="B9" i="2"/>
  <c r="B8" i="2"/>
  <c r="B7" i="2"/>
  <c r="B6" i="2"/>
  <c r="B5" i="2"/>
  <c r="B4" i="2"/>
  <c r="E8" i="9" l="1"/>
  <c r="D8" i="9"/>
  <c r="C8" i="9"/>
  <c r="B8" i="9"/>
  <c r="E7" i="9"/>
  <c r="D7" i="9"/>
  <c r="C7" i="9"/>
  <c r="B7" i="9"/>
  <c r="E6" i="9"/>
  <c r="D6" i="9"/>
  <c r="C6" i="9"/>
  <c r="B6" i="9"/>
  <c r="F83" i="7"/>
  <c r="E83" i="7"/>
  <c r="F82" i="7"/>
  <c r="E82" i="7"/>
  <c r="F81" i="7"/>
  <c r="E81" i="7"/>
  <c r="F80" i="7"/>
  <c r="E80" i="7"/>
  <c r="F79" i="7"/>
  <c r="E79" i="7"/>
  <c r="F78" i="7"/>
  <c r="E78" i="7"/>
  <c r="F77" i="7"/>
  <c r="E77" i="7"/>
  <c r="F76" i="7"/>
  <c r="E76" i="7"/>
  <c r="F75" i="7"/>
  <c r="E75" i="7"/>
  <c r="F74" i="7"/>
  <c r="E74" i="7"/>
  <c r="F73" i="7"/>
  <c r="E73" i="7"/>
  <c r="F72" i="7"/>
  <c r="E72" i="7"/>
  <c r="F71" i="7"/>
  <c r="E71" i="7"/>
  <c r="F70" i="7"/>
  <c r="E70" i="7"/>
  <c r="F69" i="7"/>
  <c r="E69" i="7"/>
  <c r="F68" i="7"/>
  <c r="E68" i="7"/>
  <c r="F67" i="7"/>
  <c r="E67" i="7"/>
  <c r="F66" i="7"/>
  <c r="E66" i="7"/>
  <c r="F65" i="7"/>
  <c r="E65" i="7"/>
  <c r="F64" i="7"/>
  <c r="E64" i="7"/>
  <c r="F63" i="7"/>
  <c r="E63" i="7"/>
  <c r="F62" i="7"/>
  <c r="E62" i="7"/>
  <c r="F61" i="7"/>
  <c r="E61" i="7"/>
  <c r="F60" i="7"/>
  <c r="E60" i="7"/>
  <c r="F59" i="7"/>
  <c r="E59" i="7"/>
  <c r="F58" i="7"/>
  <c r="E58" i="7"/>
  <c r="F57" i="7"/>
  <c r="E57" i="7"/>
  <c r="F56" i="7"/>
  <c r="E56" i="7"/>
  <c r="F55" i="7"/>
  <c r="E55" i="7"/>
  <c r="F54" i="7"/>
  <c r="E54" i="7"/>
  <c r="F53" i="7"/>
  <c r="E53" i="7"/>
  <c r="F52" i="7"/>
  <c r="E52" i="7"/>
  <c r="F51" i="7"/>
  <c r="E51" i="7"/>
  <c r="F50" i="7"/>
  <c r="E50" i="7"/>
  <c r="F49" i="7"/>
  <c r="E49" i="7"/>
  <c r="F48" i="7"/>
  <c r="E48" i="7"/>
  <c r="F47" i="7"/>
  <c r="E47" i="7"/>
  <c r="F46" i="7"/>
  <c r="E46" i="7"/>
  <c r="F45" i="7"/>
  <c r="E45" i="7"/>
  <c r="F44" i="7"/>
  <c r="E44" i="7"/>
  <c r="F43" i="7"/>
  <c r="E43" i="7"/>
  <c r="F42" i="7"/>
  <c r="E42" i="7"/>
  <c r="F41" i="7"/>
  <c r="E41" i="7"/>
  <c r="F40" i="7"/>
  <c r="E40" i="7"/>
  <c r="F39" i="7"/>
  <c r="E39" i="7"/>
  <c r="F38" i="7"/>
  <c r="E38" i="7"/>
  <c r="F37" i="7"/>
  <c r="E37" i="7"/>
  <c r="F36" i="7"/>
  <c r="E36" i="7"/>
  <c r="F35" i="7"/>
  <c r="E35" i="7"/>
  <c r="F34" i="7"/>
  <c r="E34" i="7"/>
  <c r="F33" i="7"/>
  <c r="E33" i="7"/>
  <c r="F32" i="7"/>
  <c r="E32" i="7"/>
  <c r="F31" i="7"/>
  <c r="E31" i="7"/>
  <c r="F30" i="7"/>
  <c r="E30" i="7"/>
  <c r="F29" i="7"/>
  <c r="E29" i="7"/>
  <c r="F28" i="7"/>
  <c r="E28" i="7"/>
  <c r="F27" i="7"/>
  <c r="E27" i="7"/>
  <c r="F26" i="7"/>
  <c r="E26" i="7"/>
  <c r="F25" i="7"/>
  <c r="E25" i="7"/>
  <c r="F24" i="7"/>
  <c r="E24" i="7"/>
  <c r="F23" i="7"/>
  <c r="E23" i="7"/>
  <c r="F22" i="7"/>
  <c r="E22" i="7"/>
  <c r="F21" i="7"/>
  <c r="E21" i="7"/>
  <c r="F20" i="7"/>
  <c r="E20" i="7"/>
  <c r="F19" i="7"/>
  <c r="E19" i="7"/>
  <c r="F18" i="7"/>
  <c r="E18" i="7"/>
  <c r="F17" i="7"/>
  <c r="E17" i="7"/>
  <c r="F16" i="7"/>
  <c r="E16" i="7"/>
  <c r="F15" i="7"/>
  <c r="E15" i="7"/>
  <c r="F14" i="7"/>
  <c r="E14" i="7"/>
  <c r="F13" i="7"/>
  <c r="E13" i="7"/>
  <c r="F12" i="7"/>
  <c r="E12" i="7"/>
  <c r="F11" i="7"/>
  <c r="E11" i="7"/>
  <c r="F10" i="7"/>
  <c r="E10" i="7"/>
  <c r="F9" i="7"/>
  <c r="E9" i="7"/>
  <c r="F8" i="7"/>
  <c r="E8" i="7"/>
  <c r="F7" i="7"/>
  <c r="E7" i="7"/>
  <c r="F6" i="7"/>
  <c r="E6" i="7"/>
  <c r="F5" i="7"/>
  <c r="E5" i="7"/>
  <c r="F4" i="7"/>
  <c r="E4" i="7"/>
  <c r="I103" i="5"/>
  <c r="G103" i="5"/>
  <c r="J103" i="5" s="1"/>
  <c r="I102" i="5"/>
  <c r="G102" i="5"/>
  <c r="J102" i="5" s="1"/>
  <c r="I101" i="5"/>
  <c r="G101" i="5"/>
  <c r="J101" i="5" s="1"/>
  <c r="I100" i="5"/>
  <c r="G100" i="5"/>
  <c r="J100" i="5" s="1"/>
  <c r="I99" i="5"/>
  <c r="G99" i="5"/>
  <c r="J99" i="5" s="1"/>
  <c r="I98" i="5"/>
  <c r="G98" i="5"/>
  <c r="J98" i="5" s="1"/>
  <c r="I97" i="5"/>
  <c r="G97" i="5"/>
  <c r="J97" i="5" s="1"/>
  <c r="I96" i="5"/>
  <c r="G96" i="5"/>
  <c r="J96" i="5" s="1"/>
  <c r="I95" i="5"/>
  <c r="G95" i="5"/>
  <c r="J95" i="5" s="1"/>
  <c r="I94" i="5"/>
  <c r="G94" i="5"/>
  <c r="J94" i="5" s="1"/>
  <c r="I93" i="5"/>
  <c r="G93" i="5"/>
  <c r="J93" i="5" s="1"/>
  <c r="I92" i="5"/>
  <c r="G92" i="5"/>
  <c r="J92" i="5" s="1"/>
  <c r="I91" i="5"/>
  <c r="G91" i="5"/>
  <c r="J91" i="5" s="1"/>
  <c r="I90" i="5"/>
  <c r="G90" i="5"/>
  <c r="J90" i="5" s="1"/>
  <c r="I89" i="5"/>
  <c r="G89" i="5"/>
  <c r="J89" i="5" s="1"/>
  <c r="I88" i="5"/>
  <c r="G88" i="5"/>
  <c r="J88" i="5" s="1"/>
  <c r="I87" i="5"/>
  <c r="G87" i="5"/>
  <c r="J87" i="5" s="1"/>
  <c r="I86" i="5"/>
  <c r="G86" i="5"/>
  <c r="J86" i="5" s="1"/>
  <c r="I85" i="5"/>
  <c r="G85" i="5"/>
  <c r="J85" i="5" s="1"/>
  <c r="I84" i="5"/>
  <c r="G84" i="5"/>
  <c r="J84" i="5" s="1"/>
  <c r="I83" i="5"/>
  <c r="G83" i="5"/>
  <c r="J83" i="5" s="1"/>
  <c r="I82" i="5"/>
  <c r="G82" i="5"/>
  <c r="J82" i="5" s="1"/>
  <c r="I81" i="5"/>
  <c r="G81" i="5"/>
  <c r="J81" i="5" s="1"/>
  <c r="I80" i="5"/>
  <c r="G80" i="5"/>
  <c r="J80" i="5" s="1"/>
  <c r="I79" i="5"/>
  <c r="G79" i="5"/>
  <c r="J79" i="5" s="1"/>
  <c r="I78" i="5"/>
  <c r="G78" i="5"/>
  <c r="J78" i="5" s="1"/>
  <c r="I77" i="5"/>
  <c r="G77" i="5"/>
  <c r="J77" i="5" s="1"/>
  <c r="I76" i="5"/>
  <c r="G76" i="5"/>
  <c r="J76" i="5" s="1"/>
  <c r="I75" i="5"/>
  <c r="G75" i="5"/>
  <c r="J75" i="5" s="1"/>
  <c r="I74" i="5"/>
  <c r="G74" i="5"/>
  <c r="J74" i="5" s="1"/>
  <c r="I73" i="5"/>
  <c r="G73" i="5"/>
  <c r="J73" i="5" s="1"/>
  <c r="I72" i="5"/>
  <c r="G72" i="5"/>
  <c r="J72" i="5" s="1"/>
  <c r="I71" i="5"/>
  <c r="G71" i="5"/>
  <c r="J71" i="5" s="1"/>
  <c r="I70" i="5"/>
  <c r="G70" i="5"/>
  <c r="J70" i="5" s="1"/>
  <c r="I69" i="5"/>
  <c r="G69" i="5"/>
  <c r="J69" i="5" s="1"/>
  <c r="I68" i="5"/>
  <c r="G68" i="5"/>
  <c r="J68" i="5" s="1"/>
  <c r="I67" i="5"/>
  <c r="G67" i="5"/>
  <c r="J67" i="5" s="1"/>
  <c r="I66" i="5"/>
  <c r="G66" i="5"/>
  <c r="J66" i="5" s="1"/>
  <c r="I65" i="5"/>
  <c r="G65" i="5"/>
  <c r="J65" i="5" s="1"/>
  <c r="I64" i="5"/>
  <c r="G64" i="5"/>
  <c r="J64" i="5" s="1"/>
  <c r="I63" i="5"/>
  <c r="G63" i="5"/>
  <c r="J63" i="5" s="1"/>
  <c r="I62" i="5"/>
  <c r="G62" i="5"/>
  <c r="J62" i="5" s="1"/>
  <c r="I61" i="5"/>
  <c r="G61" i="5"/>
  <c r="J61" i="5" s="1"/>
  <c r="I60" i="5"/>
  <c r="G60" i="5"/>
  <c r="J60" i="5" s="1"/>
  <c r="I59" i="5"/>
  <c r="G59" i="5"/>
  <c r="J59" i="5" s="1"/>
  <c r="I58" i="5"/>
  <c r="G58" i="5"/>
  <c r="J58" i="5" s="1"/>
  <c r="I57" i="5"/>
  <c r="G57" i="5"/>
  <c r="J57" i="5" s="1"/>
  <c r="I56" i="5"/>
  <c r="G56" i="5"/>
  <c r="J56" i="5" s="1"/>
  <c r="I55" i="5"/>
  <c r="G55" i="5"/>
  <c r="J55" i="5" s="1"/>
  <c r="I54" i="5"/>
  <c r="G54" i="5"/>
  <c r="J54" i="5" s="1"/>
  <c r="I53" i="5"/>
  <c r="G53" i="5"/>
  <c r="J53" i="5" s="1"/>
  <c r="I52" i="5"/>
  <c r="G52" i="5"/>
  <c r="J52" i="5" s="1"/>
  <c r="I51" i="5"/>
  <c r="G51" i="5"/>
  <c r="J51" i="5" s="1"/>
  <c r="I50" i="5"/>
  <c r="G50" i="5"/>
  <c r="J50" i="5" s="1"/>
  <c r="I49" i="5"/>
  <c r="G49" i="5"/>
  <c r="J49" i="5" s="1"/>
  <c r="I48" i="5"/>
  <c r="G48" i="5"/>
  <c r="J48" i="5" s="1"/>
  <c r="I47" i="5"/>
  <c r="G47" i="5"/>
  <c r="J47" i="5" s="1"/>
  <c r="I46" i="5"/>
  <c r="G46" i="5"/>
  <c r="J46" i="5" s="1"/>
  <c r="I45" i="5"/>
  <c r="G45" i="5"/>
  <c r="J45" i="5" s="1"/>
  <c r="I44" i="5"/>
  <c r="G44" i="5"/>
  <c r="J44" i="5" s="1"/>
  <c r="I43" i="5"/>
  <c r="G43" i="5"/>
  <c r="J43" i="5" s="1"/>
  <c r="I42" i="5"/>
  <c r="G42" i="5"/>
  <c r="J42" i="5" s="1"/>
  <c r="I41" i="5"/>
  <c r="G41" i="5"/>
  <c r="J41" i="5" s="1"/>
  <c r="I40" i="5"/>
  <c r="G40" i="5"/>
  <c r="J40" i="5" s="1"/>
  <c r="I39" i="5"/>
  <c r="G39" i="5"/>
  <c r="J39" i="5" s="1"/>
  <c r="I38" i="5"/>
  <c r="G38" i="5"/>
  <c r="J38" i="5" s="1"/>
  <c r="I37" i="5"/>
  <c r="G37" i="5"/>
  <c r="J37" i="5" s="1"/>
  <c r="I36" i="5"/>
  <c r="G36" i="5"/>
  <c r="J36" i="5" s="1"/>
  <c r="I35" i="5"/>
  <c r="G35" i="5"/>
  <c r="J35" i="5" s="1"/>
  <c r="I34" i="5"/>
  <c r="G34" i="5"/>
  <c r="J34" i="5" s="1"/>
  <c r="I33" i="5"/>
  <c r="G33" i="5"/>
  <c r="J33" i="5" s="1"/>
  <c r="I32" i="5"/>
  <c r="G32" i="5"/>
  <c r="J32" i="5" s="1"/>
  <c r="I31" i="5"/>
  <c r="G31" i="5"/>
  <c r="J31" i="5" s="1"/>
  <c r="I30" i="5"/>
  <c r="G30" i="5"/>
  <c r="J30" i="5" s="1"/>
  <c r="I29" i="5"/>
  <c r="G29" i="5"/>
  <c r="J29" i="5" s="1"/>
  <c r="I28" i="5"/>
  <c r="G28" i="5"/>
  <c r="J28" i="5" s="1"/>
  <c r="I27" i="5"/>
  <c r="G27" i="5"/>
  <c r="J27" i="5" s="1"/>
  <c r="I26" i="5"/>
  <c r="G26" i="5"/>
  <c r="J26" i="5" s="1"/>
  <c r="I25" i="5"/>
  <c r="G25" i="5"/>
  <c r="J25" i="5" s="1"/>
  <c r="I24" i="5"/>
  <c r="G24" i="5"/>
  <c r="J24" i="5" s="1"/>
  <c r="I23" i="5"/>
  <c r="G23" i="5"/>
  <c r="J23" i="5" s="1"/>
  <c r="I22" i="5"/>
  <c r="G22" i="5"/>
  <c r="J22" i="5" s="1"/>
  <c r="I21" i="5"/>
  <c r="G21" i="5"/>
  <c r="J21" i="5" s="1"/>
  <c r="I20" i="5"/>
  <c r="G20" i="5"/>
  <c r="J20" i="5" s="1"/>
  <c r="I19" i="5"/>
  <c r="G19" i="5"/>
  <c r="J19" i="5" s="1"/>
  <c r="I18" i="5"/>
  <c r="G18" i="5"/>
  <c r="J18" i="5" s="1"/>
  <c r="I17" i="5"/>
  <c r="G17" i="5"/>
  <c r="J17" i="5" s="1"/>
  <c r="I16" i="5"/>
  <c r="G16" i="5"/>
  <c r="J16" i="5" s="1"/>
  <c r="I15" i="5"/>
  <c r="G15" i="5"/>
  <c r="J15" i="5" s="1"/>
  <c r="I14" i="5"/>
  <c r="G14" i="5"/>
  <c r="J14" i="5" s="1"/>
  <c r="I13" i="5"/>
  <c r="G13" i="5"/>
  <c r="J13" i="5" s="1"/>
  <c r="I12" i="5"/>
  <c r="G12" i="5"/>
  <c r="J12" i="5" s="1"/>
  <c r="I11" i="5"/>
  <c r="G11" i="5"/>
  <c r="J11" i="5" s="1"/>
  <c r="I10" i="5"/>
  <c r="G10" i="5"/>
  <c r="J10" i="5" s="1"/>
  <c r="I9" i="5"/>
  <c r="G9" i="5"/>
  <c r="I8" i="5"/>
  <c r="G8" i="5"/>
  <c r="J8" i="5" s="1"/>
  <c r="I7" i="5"/>
  <c r="G7" i="5"/>
  <c r="I6" i="5"/>
  <c r="G6" i="5"/>
  <c r="I5" i="5"/>
  <c r="G5" i="5"/>
  <c r="I4" i="5"/>
  <c r="G4" i="5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B202" i="2"/>
  <c r="B201" i="2"/>
  <c r="B200" i="2"/>
  <c r="B199" i="2"/>
  <c r="B198" i="2"/>
  <c r="B197" i="2"/>
  <c r="B196" i="2"/>
  <c r="B195" i="2"/>
  <c r="B194" i="2"/>
  <c r="B193" i="2"/>
  <c r="B192" i="2"/>
  <c r="B191" i="2"/>
  <c r="B190" i="2"/>
  <c r="B189" i="2"/>
  <c r="B188" i="2"/>
  <c r="B187" i="2"/>
  <c r="B186" i="2"/>
  <c r="B185" i="2"/>
  <c r="B184" i="2"/>
  <c r="B183" i="2"/>
  <c r="B182" i="2"/>
  <c r="B181" i="2"/>
  <c r="B180" i="2"/>
  <c r="B179" i="2"/>
  <c r="B178" i="2"/>
  <c r="B177" i="2"/>
  <c r="B176" i="2"/>
  <c r="B175" i="2"/>
  <c r="B174" i="2"/>
  <c r="B173" i="2"/>
  <c r="B172" i="2"/>
  <c r="B171" i="2"/>
  <c r="B170" i="2"/>
  <c r="B169" i="2"/>
  <c r="B168" i="2"/>
  <c r="B167" i="2"/>
  <c r="B166" i="2"/>
  <c r="B165" i="2"/>
  <c r="B164" i="2"/>
  <c r="B163" i="2"/>
  <c r="B162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H34" i="1"/>
  <c r="H33" i="1"/>
  <c r="G11" i="1"/>
  <c r="D11" i="1"/>
  <c r="G6" i="1"/>
  <c r="H32" i="1" s="1"/>
  <c r="J9" i="5" l="1"/>
  <c r="J7" i="5"/>
  <c r="J6" i="5"/>
  <c r="E4" i="8"/>
  <c r="C4" i="8"/>
  <c r="B17" i="1" s="1"/>
  <c r="D4" i="8"/>
  <c r="B4" i="8"/>
  <c r="F7" i="9"/>
  <c r="G7" i="9"/>
  <c r="H7" i="9" s="1"/>
  <c r="G8" i="9"/>
  <c r="H8" i="9" s="1"/>
  <c r="F8" i="9"/>
  <c r="J11" i="1"/>
  <c r="A11" i="1"/>
  <c r="F6" i="9"/>
  <c r="D14" i="8"/>
  <c r="J4" i="5"/>
  <c r="J5" i="5"/>
  <c r="G6" i="9"/>
  <c r="H6" i="9" s="1"/>
  <c r="E5" i="8"/>
  <c r="E8" i="8"/>
  <c r="E11" i="8"/>
  <c r="E14" i="8"/>
  <c r="B7" i="8"/>
  <c r="B10" i="8"/>
  <c r="B13" i="8"/>
  <c r="D6" i="1"/>
  <c r="H22" i="1"/>
  <c r="C7" i="8"/>
  <c r="C10" i="8"/>
  <c r="C13" i="8"/>
  <c r="A6" i="1"/>
  <c r="H17" i="1"/>
  <c r="H27" i="1"/>
  <c r="D7" i="8"/>
  <c r="D10" i="8"/>
  <c r="D13" i="8"/>
  <c r="H21" i="1"/>
  <c r="H26" i="1"/>
  <c r="H24" i="1"/>
  <c r="J6" i="1"/>
  <c r="H20" i="1"/>
  <c r="E7" i="8"/>
  <c r="E10" i="8"/>
  <c r="E13" i="8"/>
  <c r="H25" i="1"/>
  <c r="B6" i="8"/>
  <c r="B9" i="8"/>
  <c r="B12" i="8"/>
  <c r="B15" i="8"/>
  <c r="H18" i="1"/>
  <c r="C6" i="8"/>
  <c r="C9" i="8"/>
  <c r="C12" i="8"/>
  <c r="C15" i="8"/>
  <c r="H23" i="1"/>
  <c r="D6" i="8"/>
  <c r="D9" i="8"/>
  <c r="D12" i="8"/>
  <c r="D15" i="8"/>
  <c r="H19" i="1"/>
  <c r="E6" i="8"/>
  <c r="E9" i="8"/>
  <c r="E12" i="8"/>
  <c r="E15" i="8"/>
  <c r="B5" i="8"/>
  <c r="B8" i="8"/>
  <c r="B11" i="8"/>
  <c r="B14" i="8"/>
  <c r="C5" i="8"/>
  <c r="C8" i="8"/>
  <c r="C11" i="8"/>
  <c r="C14" i="8"/>
  <c r="D5" i="8"/>
  <c r="D8" i="8"/>
  <c r="D11" i="8"/>
  <c r="F4" i="8" l="1"/>
  <c r="I4" i="8"/>
  <c r="G4" i="8"/>
  <c r="H4" i="8" s="1"/>
  <c r="F14" i="8"/>
  <c r="F8" i="8"/>
  <c r="F5" i="8"/>
  <c r="F11" i="8"/>
  <c r="D5" i="9"/>
  <c r="C25" i="1"/>
  <c r="I12" i="8"/>
  <c r="G6" i="8"/>
  <c r="B19" i="1"/>
  <c r="E4" i="9"/>
  <c r="C17" i="1"/>
  <c r="C22" i="1"/>
  <c r="I9" i="8"/>
  <c r="C19" i="1"/>
  <c r="I6" i="8"/>
  <c r="B27" i="1"/>
  <c r="G14" i="8"/>
  <c r="B24" i="1"/>
  <c r="G11" i="8"/>
  <c r="F15" i="8"/>
  <c r="F13" i="8"/>
  <c r="B21" i="1"/>
  <c r="G8" i="8"/>
  <c r="F12" i="8"/>
  <c r="F10" i="8"/>
  <c r="B18" i="1"/>
  <c r="G5" i="8"/>
  <c r="F9" i="8"/>
  <c r="B5" i="9"/>
  <c r="F7" i="8"/>
  <c r="F6" i="8"/>
  <c r="B26" i="1"/>
  <c r="G13" i="8"/>
  <c r="B4" i="9"/>
  <c r="G10" i="8"/>
  <c r="B23" i="1"/>
  <c r="I14" i="8"/>
  <c r="C27" i="1"/>
  <c r="G15" i="8"/>
  <c r="B28" i="1"/>
  <c r="I13" i="8"/>
  <c r="C26" i="1"/>
  <c r="C5" i="9"/>
  <c r="G7" i="8"/>
  <c r="B20" i="1"/>
  <c r="I11" i="8"/>
  <c r="C24" i="1"/>
  <c r="G12" i="8"/>
  <c r="B25" i="1"/>
  <c r="I10" i="8"/>
  <c r="C23" i="1"/>
  <c r="C4" i="9"/>
  <c r="C21" i="1"/>
  <c r="I8" i="8"/>
  <c r="C28" i="1"/>
  <c r="I15" i="8"/>
  <c r="G9" i="8"/>
  <c r="B22" i="1"/>
  <c r="E5" i="9"/>
  <c r="I7" i="8"/>
  <c r="C20" i="1"/>
  <c r="D4" i="9"/>
  <c r="I5" i="8"/>
  <c r="C18" i="1"/>
  <c r="F5" i="9" l="1"/>
  <c r="F4" i="9"/>
  <c r="H12" i="8"/>
  <c r="D25" i="1"/>
  <c r="H9" i="8"/>
  <c r="D22" i="1"/>
  <c r="D21" i="1"/>
  <c r="H8" i="8"/>
  <c r="H10" i="8"/>
  <c r="D23" i="1"/>
  <c r="G5" i="9"/>
  <c r="H5" i="9" s="1"/>
  <c r="G4" i="9"/>
  <c r="H4" i="9" s="1"/>
  <c r="D24" i="1"/>
  <c r="H11" i="8"/>
  <c r="H7" i="8"/>
  <c r="D20" i="1"/>
  <c r="H13" i="8"/>
  <c r="D26" i="1"/>
  <c r="H6" i="8"/>
  <c r="D19" i="1"/>
  <c r="D17" i="1"/>
  <c r="H15" i="8"/>
  <c r="D28" i="1"/>
  <c r="H14" i="8"/>
  <c r="D27" i="1"/>
  <c r="D18" i="1"/>
  <c r="H5" i="8"/>
</calcChain>
</file>

<file path=xl/sharedStrings.xml><?xml version="1.0" encoding="utf-8"?>
<sst xmlns="http://schemas.openxmlformats.org/spreadsheetml/2006/main" count="578" uniqueCount="189">
  <si>
    <t>Dashboard financeiro doméstico</t>
  </si>
  <si>
    <t>Mês de análise</t>
  </si>
  <si>
    <t>Receitas realizadas</t>
  </si>
  <si>
    <t>Despesas realizadas</t>
  </si>
  <si>
    <t>Saldo do mês</t>
  </si>
  <si>
    <t>Economia %</t>
  </si>
  <si>
    <t>Limite disponível</t>
  </si>
  <si>
    <t>Faturas em aberto</t>
  </si>
  <si>
    <t>Saldo de dívidas</t>
  </si>
  <si>
    <t>Metas — progresso médio</t>
  </si>
  <si>
    <t>Mês</t>
  </si>
  <si>
    <t>Receitas</t>
  </si>
  <si>
    <t>Despesas</t>
  </si>
  <si>
    <t>Saldo</t>
  </si>
  <si>
    <t>Categoria</t>
  </si>
  <si>
    <t>Moradia</t>
  </si>
  <si>
    <t>Alimentação</t>
  </si>
  <si>
    <t>Transporte</t>
  </si>
  <si>
    <t>Saúde</t>
  </si>
  <si>
    <t>Educação</t>
  </si>
  <si>
    <t>Lazer</t>
  </si>
  <si>
    <t>Assinaturas</t>
  </si>
  <si>
    <t>Impostos</t>
  </si>
  <si>
    <t>Compras</t>
  </si>
  <si>
    <t>Investimentos</t>
  </si>
  <si>
    <t>Pensão</t>
  </si>
  <si>
    <t>Indicadores</t>
  </si>
  <si>
    <t>Economia</t>
  </si>
  <si>
    <t>Referência: maior é melhor para poupança</t>
  </si>
  <si>
    <t>Comprometimento da renda</t>
  </si>
  <si>
    <t>Referência: acompanhar tendência</t>
  </si>
  <si>
    <t>Limite de cartão utilizado</t>
  </si>
  <si>
    <t>Referência: acompanhar utilização</t>
  </si>
  <si>
    <t>Lançamentos — receitas e despesas</t>
  </si>
  <si>
    <t>Data</t>
  </si>
  <si>
    <t>Tipo</t>
  </si>
  <si>
    <t>Descrição</t>
  </si>
  <si>
    <t>Forma</t>
  </si>
  <si>
    <t>Conta/Cartão</t>
  </si>
  <si>
    <t>Previsto</t>
  </si>
  <si>
    <t>Realizado</t>
  </si>
  <si>
    <t>Status</t>
  </si>
  <si>
    <t>Observação</t>
  </si>
  <si>
    <t>ID</t>
  </si>
  <si>
    <t>Despesa</t>
  </si>
  <si>
    <t>Aluguel</t>
  </si>
  <si>
    <t>Transferência</t>
  </si>
  <si>
    <t>Sicoob</t>
  </si>
  <si>
    <t>Pago</t>
  </si>
  <si>
    <t>Receita</t>
  </si>
  <si>
    <t>Salário (Gdl)</t>
  </si>
  <si>
    <t>Renda fixa</t>
  </si>
  <si>
    <t>Itaú</t>
  </si>
  <si>
    <t>Salário de férias (Gdl)</t>
  </si>
  <si>
    <t>Renda variável</t>
  </si>
  <si>
    <t>Adiantamento (Gdl)</t>
  </si>
  <si>
    <t>Salário (Grupo soluções)</t>
  </si>
  <si>
    <t>Adiantamento (Grupo soluções)</t>
  </si>
  <si>
    <t>Pró-labore (Grupo soluções)</t>
  </si>
  <si>
    <t>PIX</t>
  </si>
  <si>
    <t>Parcela casa (5 de 23)</t>
  </si>
  <si>
    <t>Restaurante</t>
  </si>
  <si>
    <t>Débito</t>
  </si>
  <si>
    <t>Bolo de niver</t>
  </si>
  <si>
    <t>Açai</t>
  </si>
  <si>
    <t>Uniasselvi</t>
  </si>
  <si>
    <t>Boleto</t>
  </si>
  <si>
    <t>Trimestral (Grupo soluções)</t>
  </si>
  <si>
    <t>Padaria</t>
  </si>
  <si>
    <t>IPVA moto</t>
  </si>
  <si>
    <t>Almoço</t>
  </si>
  <si>
    <t>Celular Vivo (Ju)</t>
  </si>
  <si>
    <t>Granel natural</t>
  </si>
  <si>
    <t>Da roça hortifruti</t>
  </si>
  <si>
    <t>Parada ponta da fruta</t>
  </si>
  <si>
    <t>Paçoca</t>
  </si>
  <si>
    <t>Computador (Par. 05 de 18)</t>
  </si>
  <si>
    <t>Cartão</t>
  </si>
  <si>
    <t>Débito pacote serviços</t>
  </si>
  <si>
    <t>Tarifa báncaria</t>
  </si>
  <si>
    <t>Barbeiro</t>
  </si>
  <si>
    <t>Auto serviço marina</t>
  </si>
  <si>
    <t>Assai atacadista</t>
  </si>
  <si>
    <t>Supermercado carone</t>
  </si>
  <si>
    <t>Cinema</t>
  </si>
  <si>
    <t>Pipoca cinema</t>
  </si>
  <si>
    <t>Extrabom</t>
  </si>
  <si>
    <t>Cacau show</t>
  </si>
  <si>
    <t>Pizzaria</t>
  </si>
  <si>
    <t xml:space="preserve">Padaria </t>
  </si>
  <si>
    <t>Devolução dízimo</t>
  </si>
  <si>
    <t>Devolução Dízimo</t>
  </si>
  <si>
    <t>Amazonas açougue</t>
  </si>
  <si>
    <t>Dentista</t>
  </si>
  <si>
    <t>Moto</t>
  </si>
  <si>
    <t>Empréstimo empresa (Par. 07 de 19)</t>
  </si>
  <si>
    <t>Empréstimo</t>
  </si>
  <si>
    <t>Venda casa (Par. 16 de 60)</t>
  </si>
  <si>
    <t>Contas fixas e vencimentos</t>
  </si>
  <si>
    <t>Conta</t>
  </si>
  <si>
    <t>Vencimento</t>
  </si>
  <si>
    <t>Valor Previsto</t>
  </si>
  <si>
    <t>Valor Realizado</t>
  </si>
  <si>
    <t>Recorrente?</t>
  </si>
  <si>
    <t>Mês inicial</t>
  </si>
  <si>
    <t>Sim</t>
  </si>
  <si>
    <t>Internet Claro</t>
  </si>
  <si>
    <t>Energia</t>
  </si>
  <si>
    <t>Água</t>
  </si>
  <si>
    <t>Celular Vivo (Fe)</t>
  </si>
  <si>
    <t>Academia (Ju)</t>
  </si>
  <si>
    <t>Cartão de crédito</t>
  </si>
  <si>
    <t>Academia (Fe)</t>
  </si>
  <si>
    <t>Controle de cartões e limite disponível</t>
  </si>
  <si>
    <t>Banco</t>
  </si>
  <si>
    <t>Limite Total</t>
  </si>
  <si>
    <t>Limite Utilizado</t>
  </si>
  <si>
    <t>Limite Disponível</t>
  </si>
  <si>
    <t>Dia Fechamento</t>
  </si>
  <si>
    <t>Dia Vencimento</t>
  </si>
  <si>
    <t>Fatura Atual</t>
  </si>
  <si>
    <t>Cartão Sicoob</t>
  </si>
  <si>
    <t>Aberta</t>
  </si>
  <si>
    <t>Cartão Banco do Brasil</t>
  </si>
  <si>
    <t>Banco do Brasil</t>
  </si>
  <si>
    <t>Cartão celebre</t>
  </si>
  <si>
    <t>Celebre</t>
  </si>
  <si>
    <t>Compras parceladas</t>
  </si>
  <si>
    <t>Compra</t>
  </si>
  <si>
    <t>Valor Total</t>
  </si>
  <si>
    <t>Nº Parcelas</t>
  </si>
  <si>
    <t>Parcela Atual</t>
  </si>
  <si>
    <t>Valor Parcela</t>
  </si>
  <si>
    <t>Parcelas Pagas</t>
  </si>
  <si>
    <t>Parcelas Restantes</t>
  </si>
  <si>
    <t>Próx. Vencimento</t>
  </si>
  <si>
    <t>Escola dain</t>
  </si>
  <si>
    <t>Sistema posi</t>
  </si>
  <si>
    <t>Celular Iphone</t>
  </si>
  <si>
    <t>Shoppe (quarto)</t>
  </si>
  <si>
    <t>Computador</t>
  </si>
  <si>
    <t>Cartão Mercado Pago</t>
  </si>
  <si>
    <t>Controle de dívidas</t>
  </si>
  <si>
    <t>Dívida</t>
  </si>
  <si>
    <t>Credor</t>
  </si>
  <si>
    <t>Saldo Inicial</t>
  </si>
  <si>
    <t>Saldo Atual</t>
  </si>
  <si>
    <t>Taxa mensal</t>
  </si>
  <si>
    <t>Parcela Mensal</t>
  </si>
  <si>
    <t>Prioridade</t>
  </si>
  <si>
    <t>Previsão Quitação</t>
  </si>
  <si>
    <t xml:space="preserve">Empréstimo Empresa </t>
  </si>
  <si>
    <t>Ativa</t>
  </si>
  <si>
    <t>Alta</t>
  </si>
  <si>
    <t>19 parcelas</t>
  </si>
  <si>
    <t>Empréstimo Pedreiro</t>
  </si>
  <si>
    <t>Média</t>
  </si>
  <si>
    <t>7 parcelas</t>
  </si>
  <si>
    <t>Metas financeiras</t>
  </si>
  <si>
    <t>Meta</t>
  </si>
  <si>
    <t>Objetivo</t>
  </si>
  <si>
    <t>Valor Alvo</t>
  </si>
  <si>
    <t>Valor Atual</t>
  </si>
  <si>
    <t>Falta</t>
  </si>
  <si>
    <t>% Concluído</t>
  </si>
  <si>
    <t>Prazo</t>
  </si>
  <si>
    <t>Aporte Mensal</t>
  </si>
  <si>
    <t>Reserva de emergência</t>
  </si>
  <si>
    <t>6 meses de despesas</t>
  </si>
  <si>
    <t>Viagem</t>
  </si>
  <si>
    <t>Viagem de férias</t>
  </si>
  <si>
    <t>Compra Casa Vila Velha</t>
  </si>
  <si>
    <t>Quitar entrada de 70 k + 23 Par.</t>
  </si>
  <si>
    <t>Quitação em 20/03/2028</t>
  </si>
  <si>
    <t>Planejamento mensal — previsto x realizado</t>
  </si>
  <si>
    <t>Receitas Prev.</t>
  </si>
  <si>
    <t>Receitas Real.</t>
  </si>
  <si>
    <t>Despesas Prev.</t>
  </si>
  <si>
    <t>Despesas Real.</t>
  </si>
  <si>
    <t>Saldo Prev.</t>
  </si>
  <si>
    <t>Saldo Real.</t>
  </si>
  <si>
    <t>Comprometimento %</t>
  </si>
  <si>
    <t>Planejamento anual</t>
  </si>
  <si>
    <t>Ano</t>
  </si>
  <si>
    <t>Listas de apoio</t>
  </si>
  <si>
    <t>Dinheiro</t>
  </si>
  <si>
    <t>Baixa</t>
  </si>
  <si>
    <t>Pendente</t>
  </si>
  <si>
    <t>Salão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</si>
</sst>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R\$\ #,##0.00"/>
    <numFmt numFmtId="165" formatCode="0.0%"/>
  </numFmts>
  <fonts count="13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b/>
      <sz val="11"/>
      <name val="Calibri"/>
    </font>
    <font>
      <b/>
      <sz val="11"/>
      <color rgb="FFFFFFFF"/>
      <name val="Calibri"/>
    </font>
    <font>
      <b/>
      <sz val="11"/>
      <color rgb="FF666666"/>
      <name val="Calibri"/>
    </font>
    <font>
      <b/>
      <sz val="20"/>
      <color rgb="FF70AD47"/>
      <name val="Calibri"/>
    </font>
    <font>
      <b/>
      <sz val="20"/>
      <color rgb="FFC00000"/>
      <name val="Calibri"/>
    </font>
    <font>
      <b/>
      <sz val="20"/>
      <color rgb="FF2F75B5"/>
      <name val="Calibri"/>
    </font>
    <font>
      <b/>
      <sz val="20"/>
      <color rgb="FFED7D31"/>
      <name val="Calibri"/>
    </font>
    <font>
      <b/>
      <sz val="17"/>
      <color rgb="FF2F75B5"/>
      <name val="Calibri"/>
    </font>
    <font>
      <b/>
      <sz val="17"/>
      <color rgb="FF8064A2"/>
      <name val="Calibri"/>
    </font>
    <font>
      <b/>
      <sz val="17"/>
      <color rgb="FFC00000"/>
      <name val="Calibri"/>
    </font>
    <font>
      <b/>
      <sz val="17"/>
      <color rgb="FF70AD47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70AD47"/>
      </patternFill>
    </fill>
    <fill>
      <patternFill patternType="solid">
        <fgColor rgb="FFC00000"/>
      </patternFill>
    </fill>
    <fill>
      <patternFill patternType="solid">
        <fgColor rgb="FFED7D31"/>
      </patternFill>
    </fill>
    <fill>
      <patternFill patternType="solid">
        <fgColor rgb="FF8064A2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4" fillId="0" borderId="0" xfId="0" applyFont="1"/>
    <xf numFmtId="0" fontId="2" fillId="9" borderId="0" xfId="0" applyFont="1" applyFill="1"/>
    <xf numFmtId="164" fontId="0" fillId="0" borderId="0" xfId="0" applyNumberFormat="1"/>
    <xf numFmtId="0" fontId="3" fillId="2" borderId="0" xfId="0" applyFont="1" applyFill="1"/>
    <xf numFmtId="165" fontId="0" fillId="0" borderId="1" xfId="0" applyNumberFormat="1" applyBorder="1"/>
    <xf numFmtId="14" fontId="0" fillId="0" borderId="1" xfId="0" applyNumberFormat="1" applyBorder="1"/>
    <xf numFmtId="164" fontId="0" fillId="0" borderId="1" xfId="0" applyNumberFormat="1" applyBorder="1"/>
    <xf numFmtId="10" fontId="0" fillId="0" borderId="1" xfId="0" applyNumberFormat="1" applyBorder="1"/>
    <xf numFmtId="0" fontId="2" fillId="0" borderId="0" xfId="0" applyFont="1"/>
    <xf numFmtId="17" fontId="0" fillId="0" borderId="1" xfId="0" applyNumberFormat="1" applyBorder="1"/>
    <xf numFmtId="17" fontId="0" fillId="0" borderId="1" xfId="0" applyNumberFormat="1" applyBorder="1" applyAlignment="1">
      <alignment horizontal="right"/>
    </xf>
    <xf numFmtId="17" fontId="2" fillId="4" borderId="0" xfId="0" applyNumberFormat="1" applyFont="1" applyFill="1" applyAlignment="1">
      <alignment horizontal="center"/>
    </xf>
    <xf numFmtId="17" fontId="0" fillId="0" borderId="1" xfId="0" applyNumberFormat="1" applyBorder="1" applyAlignment="1">
      <alignment horizontal="left"/>
    </xf>
    <xf numFmtId="17" fontId="0" fillId="0" borderId="0" xfId="0" applyNumberFormat="1"/>
    <xf numFmtId="0" fontId="0" fillId="0" borderId="0" xfId="0"/>
    <xf numFmtId="0" fontId="0" fillId="0" borderId="1" xfId="0" applyBorder="1"/>
    <xf numFmtId="0" fontId="3" fillId="3" borderId="1" xfId="0" applyFont="1" applyFill="1" applyBorder="1" applyAlignment="1">
      <alignment horizontal="center"/>
    </xf>
    <xf numFmtId="0" fontId="1" fillId="2" borderId="0" xfId="0" applyFont="1" applyFill="1" applyAlignment="1">
      <alignment horizontal="left" vertical="center"/>
    </xf>
    <xf numFmtId="0" fontId="3" fillId="3" borderId="1" xfId="0" applyFont="1" applyFill="1" applyBorder="1" applyAlignment="1">
      <alignment horizontal="center"/>
    </xf>
    <xf numFmtId="164" fontId="9" fillId="0" borderId="1" xfId="0" applyNumberFormat="1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/>
    </xf>
    <xf numFmtId="165" fontId="12" fillId="0" borderId="1" xfId="0" applyNumberFormat="1" applyFont="1" applyBorder="1" applyAlignment="1">
      <alignment horizontal="center" vertical="center"/>
    </xf>
    <xf numFmtId="0" fontId="3" fillId="8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164" fontId="5" fillId="0" borderId="1" xfId="0" applyNumberFormat="1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0" fontId="3" fillId="7" borderId="1" xfId="0" applyFont="1" applyFill="1" applyBorder="1" applyAlignment="1">
      <alignment horizontal="center"/>
    </xf>
    <xf numFmtId="164" fontId="7" fillId="0" borderId="1" xfId="0" applyNumberFormat="1" applyFont="1" applyBorder="1" applyAlignment="1">
      <alignment horizontal="center" vertical="center"/>
    </xf>
    <xf numFmtId="165" fontId="8" fillId="0" borderId="1" xfId="0" applyNumberFormat="1" applyFont="1" applyBorder="1" applyAlignment="1">
      <alignment horizontal="center" vertical="center"/>
    </xf>
    <xf numFmtId="0" fontId="0" fillId="0" borderId="0" xfId="0" applyAlignment="1"/>
    <xf numFmtId="0" fontId="0" fillId="0" borderId="1" xfId="0" applyBorder="1" applyAlignment="1"/>
  </cellXfs>
  <cellStyles count="1">
    <cellStyle name="Normal" xfId="0" builtinId="0"/>
  </cellStyles>
  <dxfs count="3"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pt-BR"/>
              <a:t>Receitas x despesas por mês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Dashboard!$B$16</c:f>
              <c:strCache>
                <c:ptCount val="1"/>
                <c:pt idx="0">
                  <c:v>Receitas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Dashboard!$A$17:$A$28</c:f>
              <c:numCache>
                <c:formatCode>mmm\-yy</c:formatCode>
                <c:ptCount val="12"/>
                <c:pt idx="0">
                  <c:v>46235</c:v>
                </c:pt>
                <c:pt idx="1">
                  <c:v>46266</c:v>
                </c:pt>
                <c:pt idx="2">
                  <c:v>46296</c:v>
                </c:pt>
                <c:pt idx="3">
                  <c:v>46327</c:v>
                </c:pt>
                <c:pt idx="4">
                  <c:v>46357</c:v>
                </c:pt>
                <c:pt idx="5">
                  <c:v>46388</c:v>
                </c:pt>
                <c:pt idx="6">
                  <c:v>46419</c:v>
                </c:pt>
                <c:pt idx="7">
                  <c:v>46447</c:v>
                </c:pt>
                <c:pt idx="8">
                  <c:v>46478</c:v>
                </c:pt>
                <c:pt idx="9">
                  <c:v>46508</c:v>
                </c:pt>
                <c:pt idx="10">
                  <c:v>46539</c:v>
                </c:pt>
                <c:pt idx="11">
                  <c:v>46569</c:v>
                </c:pt>
              </c:numCache>
            </c:numRef>
          </c:cat>
          <c:val>
            <c:numRef>
              <c:f>Dashboard!$B$17:$B$28</c:f>
              <c:numCache>
                <c:formatCode>\R\$\ #,##0.00</c:formatCode>
                <c:ptCount val="12"/>
                <c:pt idx="0">
                  <c:v>17632.86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DEE-4940-BACE-425BFFBA21A5}"/>
            </c:ext>
          </c:extLst>
        </c:ser>
        <c:ser>
          <c:idx val="1"/>
          <c:order val="1"/>
          <c:tx>
            <c:strRef>
              <c:f>Dashboard!$C$16</c:f>
              <c:strCache>
                <c:ptCount val="1"/>
                <c:pt idx="0">
                  <c:v>Despesas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Dashboard!$A$17:$A$28</c:f>
              <c:numCache>
                <c:formatCode>mmm\-yy</c:formatCode>
                <c:ptCount val="12"/>
                <c:pt idx="0">
                  <c:v>46235</c:v>
                </c:pt>
                <c:pt idx="1">
                  <c:v>46266</c:v>
                </c:pt>
                <c:pt idx="2">
                  <c:v>46296</c:v>
                </c:pt>
                <c:pt idx="3">
                  <c:v>46327</c:v>
                </c:pt>
                <c:pt idx="4">
                  <c:v>46357</c:v>
                </c:pt>
                <c:pt idx="5">
                  <c:v>46388</c:v>
                </c:pt>
                <c:pt idx="6">
                  <c:v>46419</c:v>
                </c:pt>
                <c:pt idx="7">
                  <c:v>46447</c:v>
                </c:pt>
                <c:pt idx="8">
                  <c:v>46478</c:v>
                </c:pt>
                <c:pt idx="9">
                  <c:v>46508</c:v>
                </c:pt>
                <c:pt idx="10">
                  <c:v>46539</c:v>
                </c:pt>
                <c:pt idx="11">
                  <c:v>46569</c:v>
                </c:pt>
              </c:numCache>
            </c:numRef>
          </c:cat>
          <c:val>
            <c:numRef>
              <c:f>Dashboard!$C$17:$C$28</c:f>
              <c:numCache>
                <c:formatCode>\R\$\ #,##0.00</c:formatCode>
                <c:ptCount val="12"/>
                <c:pt idx="0">
                  <c:v>12565.099999999999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DEE-4940-BACE-425BFFBA21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Mês</a:t>
                </a:r>
              </a:p>
            </c:rich>
          </c:tx>
          <c:overlay val="1"/>
        </c:title>
        <c:numFmt formatCode="mmm\-yy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months"/>
      </c:date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R$</a:t>
                </a:r>
              </a:p>
            </c:rich>
          </c:tx>
          <c:overlay val="1"/>
        </c:title>
        <c:numFmt formatCode="\R\$\ 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pt-BR"/>
              <a:t>Saldo mensal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Dashboard!$D$16</c:f>
              <c:strCache>
                <c:ptCount val="1"/>
                <c:pt idx="0">
                  <c:v>Saldo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Dashboard!$A$17:$A$28</c:f>
              <c:numCache>
                <c:formatCode>mmm\-yy</c:formatCode>
                <c:ptCount val="12"/>
                <c:pt idx="0">
                  <c:v>46235</c:v>
                </c:pt>
                <c:pt idx="1">
                  <c:v>46266</c:v>
                </c:pt>
                <c:pt idx="2">
                  <c:v>46296</c:v>
                </c:pt>
                <c:pt idx="3">
                  <c:v>46327</c:v>
                </c:pt>
                <c:pt idx="4">
                  <c:v>46357</c:v>
                </c:pt>
                <c:pt idx="5">
                  <c:v>46388</c:v>
                </c:pt>
                <c:pt idx="6">
                  <c:v>46419</c:v>
                </c:pt>
                <c:pt idx="7">
                  <c:v>46447</c:v>
                </c:pt>
                <c:pt idx="8">
                  <c:v>46478</c:v>
                </c:pt>
                <c:pt idx="9">
                  <c:v>46508</c:v>
                </c:pt>
                <c:pt idx="10">
                  <c:v>46539</c:v>
                </c:pt>
                <c:pt idx="11">
                  <c:v>46569</c:v>
                </c:pt>
              </c:numCache>
            </c:numRef>
          </c:cat>
          <c:val>
            <c:numRef>
              <c:f>Dashboard!$D$17:$D$28</c:f>
              <c:numCache>
                <c:formatCode>\R\$\ #,##0.00</c:formatCode>
                <c:ptCount val="12"/>
                <c:pt idx="0">
                  <c:v>5067.760000000002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85-4427-91CE-A1E8F359D6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dateAx>
        <c:axId val="10"/>
        <c:scaling>
          <c:orientation val="minMax"/>
        </c:scaling>
        <c:delete val="1"/>
        <c:axPos val="b"/>
        <c:numFmt formatCode="mmm\-yy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months"/>
      </c:date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R$</a:t>
                </a:r>
              </a:p>
            </c:rich>
          </c:tx>
          <c:overlay val="1"/>
        </c:title>
        <c:numFmt formatCode="\R\$\ 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pt-BR"/>
        </a:p>
      </c:txPr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pt-BR"/>
              <a:t>Despesas por categoria</a:t>
            </a:r>
          </a:p>
        </c:rich>
      </c:tx>
      <c:overlay val="1"/>
    </c:title>
    <c:autoTitleDeleted val="0"/>
    <c:plotArea>
      <c:layout/>
      <c:doughnutChart>
        <c:varyColors val="1"/>
        <c:ser>
          <c:idx val="0"/>
          <c:order val="0"/>
          <c:tx>
            <c:strRef>
              <c:f>Dashboard!$H$16</c:f>
              <c:strCache>
                <c:ptCount val="1"/>
                <c:pt idx="0">
                  <c:v>Despesas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Dashboard!$G$17:$G$27</c:f>
              <c:strCache>
                <c:ptCount val="11"/>
                <c:pt idx="0">
                  <c:v>Moradia</c:v>
                </c:pt>
                <c:pt idx="1">
                  <c:v>Alimentação</c:v>
                </c:pt>
                <c:pt idx="2">
                  <c:v>Transporte</c:v>
                </c:pt>
                <c:pt idx="3">
                  <c:v>Saúde</c:v>
                </c:pt>
                <c:pt idx="4">
                  <c:v>Educação</c:v>
                </c:pt>
                <c:pt idx="5">
                  <c:v>Lazer</c:v>
                </c:pt>
                <c:pt idx="6">
                  <c:v>Assinaturas</c:v>
                </c:pt>
                <c:pt idx="7">
                  <c:v>Impostos</c:v>
                </c:pt>
                <c:pt idx="8">
                  <c:v>Compras</c:v>
                </c:pt>
                <c:pt idx="9">
                  <c:v>Investimentos</c:v>
                </c:pt>
                <c:pt idx="10">
                  <c:v>Pensão</c:v>
                </c:pt>
              </c:strCache>
            </c:strRef>
          </c:cat>
          <c:val>
            <c:numRef>
              <c:f>Dashboard!$H$17:$H$27</c:f>
              <c:numCache>
                <c:formatCode>\R\$\ #,##0.00</c:formatCode>
                <c:ptCount val="11"/>
                <c:pt idx="0">
                  <c:v>3000</c:v>
                </c:pt>
                <c:pt idx="1">
                  <c:v>549.46</c:v>
                </c:pt>
                <c:pt idx="2">
                  <c:v>98.37</c:v>
                </c:pt>
                <c:pt idx="3">
                  <c:v>130</c:v>
                </c:pt>
                <c:pt idx="4">
                  <c:v>109.28999999999999</c:v>
                </c:pt>
                <c:pt idx="5">
                  <c:v>85.92</c:v>
                </c:pt>
                <c:pt idx="6">
                  <c:v>72.89</c:v>
                </c:pt>
                <c:pt idx="7">
                  <c:v>0</c:v>
                </c:pt>
                <c:pt idx="8">
                  <c:v>304.09000000000003</c:v>
                </c:pt>
                <c:pt idx="9">
                  <c:v>4683.05</c:v>
                </c:pt>
                <c:pt idx="10">
                  <c:v>1134.7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75-465B-8F62-56867279BC60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  <c:holeSize val="10"/>
      </c:doughnut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30</xdr:row>
      <xdr:rowOff>0</xdr:rowOff>
    </xdr:from>
    <xdr:ext cx="432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0</xdr:colOff>
      <xdr:row>30</xdr:row>
      <xdr:rowOff>0</xdr:rowOff>
    </xdr:from>
    <xdr:ext cx="432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46</xdr:row>
      <xdr:rowOff>0</xdr:rowOff>
    </xdr:from>
    <xdr:ext cx="3240000" cy="25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Lancamentos" displayName="tblLancamentos" ref="A3:L202">
  <autoFilter ref="A3:L202" xr:uid="{00000000-0009-0000-0100-000001000000}"/>
  <tableColumns count="12">
    <tableColumn id="1" xr3:uid="{00000000-0010-0000-0000-000001000000}" name="Data"/>
    <tableColumn id="2" xr3:uid="{00000000-0010-0000-0000-000002000000}" name="Mês"/>
    <tableColumn id="3" xr3:uid="{00000000-0010-0000-0000-000003000000}" name="Tipo"/>
    <tableColumn id="4" xr3:uid="{00000000-0010-0000-0000-000004000000}" name="Descrição"/>
    <tableColumn id="5" xr3:uid="{00000000-0010-0000-0000-000005000000}" name="Categoria"/>
    <tableColumn id="6" xr3:uid="{00000000-0010-0000-0000-000006000000}" name="Forma"/>
    <tableColumn id="7" xr3:uid="{00000000-0010-0000-0000-000007000000}" name="Conta/Cartão"/>
    <tableColumn id="8" xr3:uid="{00000000-0010-0000-0000-000008000000}" name="Previsto"/>
    <tableColumn id="9" xr3:uid="{00000000-0010-0000-0000-000009000000}" name="Realizado"/>
    <tableColumn id="10" xr3:uid="{00000000-0010-0000-0000-00000A000000}" name="Status"/>
    <tableColumn id="11" xr3:uid="{00000000-0010-0000-0000-00000B000000}" name="Observação"/>
    <tableColumn id="12" xr3:uid="{00000000-0010-0000-0000-00000C000000}" name="I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Fixas" displayName="tblFixas" ref="A3:J103">
  <autoFilter ref="A3:J103" xr:uid="{00000000-0009-0000-0100-000002000000}"/>
  <tableColumns count="10">
    <tableColumn id="1" xr3:uid="{00000000-0010-0000-0100-000001000000}" name="Conta"/>
    <tableColumn id="2" xr3:uid="{00000000-0010-0000-0100-000002000000}" name="Categoria"/>
    <tableColumn id="3" xr3:uid="{00000000-0010-0000-0100-000003000000}" name="Vencimento"/>
    <tableColumn id="4" xr3:uid="{00000000-0010-0000-0100-000004000000}" name="Valor Previsto"/>
    <tableColumn id="5" xr3:uid="{00000000-0010-0000-0100-000005000000}" name="Valor Realizado"/>
    <tableColumn id="6" xr3:uid="{00000000-0010-0000-0100-000006000000}" name="Forma"/>
    <tableColumn id="7" xr3:uid="{00000000-0010-0000-0100-000007000000}" name="Recorrente?"/>
    <tableColumn id="8" xr3:uid="{00000000-0010-0000-0100-000008000000}" name="Status"/>
    <tableColumn id="9" xr3:uid="{00000000-0010-0000-0100-000009000000}" name="Mês inicial"/>
    <tableColumn id="10" xr3:uid="{00000000-0010-0000-0100-00000A000000}" name="Observação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Cartoes" displayName="tblCartoes" ref="A3:J53">
  <autoFilter ref="A3:J53" xr:uid="{00000000-0009-0000-0100-000003000000}"/>
  <tableColumns count="10">
    <tableColumn id="1" xr3:uid="{00000000-0010-0000-0200-000001000000}" name="Cartão"/>
    <tableColumn id="2" xr3:uid="{00000000-0010-0000-0200-000002000000}" name="Banco"/>
    <tableColumn id="3" xr3:uid="{00000000-0010-0000-0200-000003000000}" name="Limite Total"/>
    <tableColumn id="4" xr3:uid="{00000000-0010-0000-0200-000004000000}" name="Limite Utilizado"/>
    <tableColumn id="5" xr3:uid="{00000000-0010-0000-0200-000005000000}" name="Limite Disponível"/>
    <tableColumn id="6" xr3:uid="{00000000-0010-0000-0200-000006000000}" name="Dia Fechamento"/>
    <tableColumn id="7" xr3:uid="{00000000-0010-0000-0200-000007000000}" name="Dia Vencimento"/>
    <tableColumn id="8" xr3:uid="{00000000-0010-0000-0200-000008000000}" name="Fatura Atual"/>
    <tableColumn id="9" xr3:uid="{00000000-0010-0000-0200-000009000000}" name="Status"/>
    <tableColumn id="10" xr3:uid="{00000000-0010-0000-0200-00000A000000}" name="Observação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Parcelas" displayName="tblParcelas" ref="A3:L103">
  <autoFilter ref="A3:L103" xr:uid="{00000000-0009-0000-0100-000004000000}"/>
  <tableColumns count="12">
    <tableColumn id="1" xr3:uid="{00000000-0010-0000-0300-000001000000}" name="Compra"/>
    <tableColumn id="2" xr3:uid="{00000000-0010-0000-0300-000002000000}" name="Cartão"/>
    <tableColumn id="3" xr3:uid="{00000000-0010-0000-0300-000003000000}" name="Data"/>
    <tableColumn id="4" xr3:uid="{00000000-0010-0000-0300-000004000000}" name="Valor Total"/>
    <tableColumn id="5" xr3:uid="{00000000-0010-0000-0300-000005000000}" name="Nº Parcelas"/>
    <tableColumn id="6" xr3:uid="{00000000-0010-0000-0300-000006000000}" name="Parcela Atual"/>
    <tableColumn id="7" xr3:uid="{00000000-0010-0000-0300-000007000000}" name="Valor Parcela"/>
    <tableColumn id="8" xr3:uid="{00000000-0010-0000-0300-000008000000}" name="Parcelas Pagas"/>
    <tableColumn id="9" xr3:uid="{00000000-0010-0000-0300-000009000000}" name="Parcelas Restantes"/>
    <tableColumn id="10" xr3:uid="{00000000-0010-0000-0300-00000A000000}" name="Saldo"/>
    <tableColumn id="11" xr3:uid="{00000000-0010-0000-0300-00000B000000}" name="Próx. Vencimento"/>
    <tableColumn id="12" xr3:uid="{00000000-0010-0000-0300-00000C000000}" name="Observação"/>
  </tableColumns>
  <tableStyleInfo name="TableStyleMedium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Dividas" displayName="tblDividas" ref="A3:K83">
  <autoFilter ref="A3:K83" xr:uid="{00000000-0009-0000-0100-000005000000}"/>
  <tableColumns count="11">
    <tableColumn id="1" xr3:uid="{00000000-0010-0000-0400-000001000000}" name="Dívida"/>
    <tableColumn id="2" xr3:uid="{00000000-0010-0000-0400-000002000000}" name="Credor"/>
    <tableColumn id="3" xr3:uid="{00000000-0010-0000-0400-000003000000}" name="Saldo Inicial"/>
    <tableColumn id="4" xr3:uid="{00000000-0010-0000-0400-000004000000}" name="Saldo Atual"/>
    <tableColumn id="5" xr3:uid="{00000000-0010-0000-0400-000005000000}" name="Taxa mensal"/>
    <tableColumn id="6" xr3:uid="{00000000-0010-0000-0400-000006000000}" name="Parcela Mensal"/>
    <tableColumn id="7" xr3:uid="{00000000-0010-0000-0400-000007000000}" name="Vencimento"/>
    <tableColumn id="8" xr3:uid="{00000000-0010-0000-0400-000008000000}" name="Status"/>
    <tableColumn id="9" xr3:uid="{00000000-0010-0000-0400-000009000000}" name="Prioridade"/>
    <tableColumn id="10" xr3:uid="{00000000-0010-0000-0400-00000A000000}" name="Previsão Quitação"/>
    <tableColumn id="11" xr3:uid="{00000000-0010-0000-0400-00000B000000}" name="Observação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Metas" displayName="tblMetas" ref="A3:J83">
  <autoFilter ref="A3:J83" xr:uid="{00000000-0009-0000-0100-000006000000}"/>
  <tableColumns count="10">
    <tableColumn id="1" xr3:uid="{00000000-0010-0000-0500-000001000000}" name="Meta"/>
    <tableColumn id="2" xr3:uid="{00000000-0010-0000-0500-000002000000}" name="Objetivo"/>
    <tableColumn id="3" xr3:uid="{00000000-0010-0000-0500-000003000000}" name="Valor Alvo"/>
    <tableColumn id="4" xr3:uid="{00000000-0010-0000-0500-000004000000}" name="Valor Atual"/>
    <tableColumn id="5" xr3:uid="{00000000-0010-0000-0500-000005000000}" name="Falta"/>
    <tableColumn id="6" xr3:uid="{00000000-0010-0000-0500-000006000000}" name="% Concluído"/>
    <tableColumn id="7" xr3:uid="{00000000-0010-0000-0500-000007000000}" name="Prazo"/>
    <tableColumn id="8" xr3:uid="{00000000-0010-0000-0500-000008000000}" name="Prioridade"/>
    <tableColumn id="9" xr3:uid="{00000000-0010-0000-0500-000009000000}" name="Aporte Mensal"/>
    <tableColumn id="10" xr3:uid="{00000000-0010-0000-0500-00000A000000}" name="Observação"/>
  </tableColumns>
  <tableStyleInfo name="TableStyleMedium3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Mensal" displayName="tblMensal" ref="A3:J15">
  <autoFilter ref="A3:J15" xr:uid="{00000000-0009-0000-0100-000007000000}"/>
  <tableColumns count="10">
    <tableColumn id="1" xr3:uid="{00000000-0010-0000-0600-000001000000}" name="Mês"/>
    <tableColumn id="2" xr3:uid="{00000000-0010-0000-0600-000002000000}" name="Receitas Prev."/>
    <tableColumn id="3" xr3:uid="{00000000-0010-0000-0600-000003000000}" name="Receitas Real."/>
    <tableColumn id="4" xr3:uid="{00000000-0010-0000-0600-000004000000}" name="Despesas Prev."/>
    <tableColumn id="5" xr3:uid="{00000000-0010-0000-0600-000005000000}" name="Despesas Real."/>
    <tableColumn id="6" xr3:uid="{00000000-0010-0000-0600-000006000000}" name="Saldo Prev."/>
    <tableColumn id="7" xr3:uid="{00000000-0010-0000-0600-000007000000}" name="Saldo Real."/>
    <tableColumn id="8" xr3:uid="{00000000-0010-0000-0600-000008000000}" name="Economia %"/>
    <tableColumn id="9" xr3:uid="{00000000-0010-0000-0600-000009000000}" name="Comprometimento %"/>
    <tableColumn id="10" xr3:uid="{00000000-0010-0000-0600-00000A000000}" name="Observação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Anual" displayName="tblAnual" ref="A3:H8">
  <autoFilter ref="A3:H8" xr:uid="{00000000-0009-0000-0100-000008000000}"/>
  <tableColumns count="8">
    <tableColumn id="1" xr3:uid="{00000000-0010-0000-0700-000001000000}" name="Ano"/>
    <tableColumn id="2" xr3:uid="{00000000-0010-0000-0700-000002000000}" name="Receitas Prev."/>
    <tableColumn id="3" xr3:uid="{00000000-0010-0000-0700-000003000000}" name="Receitas Real."/>
    <tableColumn id="4" xr3:uid="{00000000-0010-0000-0700-000004000000}" name="Despesas Prev."/>
    <tableColumn id="5" xr3:uid="{00000000-0010-0000-0700-000005000000}" name="Despesas Real."/>
    <tableColumn id="6" xr3:uid="{00000000-0010-0000-0700-000006000000}" name="Saldo Prev."/>
    <tableColumn id="7" xr3:uid="{00000000-0010-0000-0700-000007000000}" name="Saldo Real."/>
    <tableColumn id="8" xr3:uid="{00000000-0010-0000-0700-000008000000}" name="Economia %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"/>
  <sheetViews>
    <sheetView showGridLines="0" workbookViewId="0">
      <pane ySplit="3" topLeftCell="A4" activePane="bottomLeft" state="frozen"/>
      <selection pane="bottomLeft" activeCell="I19" sqref="I19"/>
    </sheetView>
  </sheetViews>
  <sheetFormatPr defaultRowHeight="14.45"/>
  <cols>
    <col min="1" max="5" width="15" customWidth="1"/>
    <col min="6" max="6" width="4" customWidth="1"/>
    <col min="7" max="7" width="20" customWidth="1"/>
    <col min="8" max="8" width="15" customWidth="1"/>
    <col min="9" max="9" width="32" customWidth="1"/>
    <col min="10" max="12" width="15" customWidth="1"/>
  </cols>
  <sheetData>
    <row r="1" spans="1:12" ht="30" customHeight="1">
      <c r="A1" s="18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</row>
    <row r="3" spans="1:12">
      <c r="A3" s="1" t="s">
        <v>1</v>
      </c>
      <c r="B3" s="12">
        <v>46235</v>
      </c>
      <c r="C3" s="15"/>
      <c r="D3" s="15"/>
      <c r="E3" s="15"/>
      <c r="F3" s="15"/>
      <c r="G3" s="15"/>
      <c r="H3" s="15"/>
      <c r="I3" s="15"/>
      <c r="J3" s="15"/>
      <c r="K3" s="15"/>
      <c r="L3" s="15"/>
    </row>
    <row r="5" spans="1:12">
      <c r="A5" s="23" t="s">
        <v>2</v>
      </c>
      <c r="B5" s="33"/>
      <c r="C5" s="15"/>
      <c r="D5" s="26" t="s">
        <v>3</v>
      </c>
      <c r="E5" s="33"/>
      <c r="F5" s="15"/>
      <c r="G5" s="19" t="s">
        <v>4</v>
      </c>
      <c r="H5" s="33"/>
      <c r="I5" s="15"/>
      <c r="J5" s="29" t="s">
        <v>5</v>
      </c>
      <c r="K5" s="33"/>
      <c r="L5" s="15"/>
    </row>
    <row r="6" spans="1:12">
      <c r="A6" s="27">
        <f>SUMIFS(Lançamentos!$I:$I,Lançamentos!$B:$B,$B$3,Lançamentos!$C:$C,"Receita")</f>
        <v>17632.86</v>
      </c>
      <c r="B6" s="33"/>
      <c r="C6" s="15"/>
      <c r="D6" s="28">
        <f>SUMIFS(Lançamentos!$I:$I,Lançamentos!$B:$B,$B$3,Lançamentos!$C:$C,"Despesa")</f>
        <v>12565.099999999999</v>
      </c>
      <c r="E6" s="33"/>
      <c r="F6" s="15"/>
      <c r="G6" s="30">
        <f>B6-E6</f>
        <v>0</v>
      </c>
      <c r="H6" s="33"/>
      <c r="I6" s="15"/>
      <c r="J6" s="31">
        <f>IFERROR(G6/B6,0)</f>
        <v>0</v>
      </c>
      <c r="K6" s="33"/>
      <c r="L6" s="15"/>
    </row>
    <row r="7" spans="1:12">
      <c r="A7" s="33"/>
      <c r="B7" s="33"/>
      <c r="C7" s="15"/>
      <c r="D7" s="33"/>
      <c r="E7" s="33"/>
      <c r="F7" s="15"/>
      <c r="G7" s="33"/>
      <c r="H7" s="33"/>
      <c r="I7" s="15"/>
      <c r="J7" s="33"/>
      <c r="K7" s="33"/>
      <c r="L7" s="15"/>
    </row>
    <row r="10" spans="1:12">
      <c r="A10" s="19" t="s">
        <v>6</v>
      </c>
      <c r="B10" s="33"/>
      <c r="C10" s="15"/>
      <c r="D10" s="25" t="s">
        <v>7</v>
      </c>
      <c r="E10" s="33"/>
      <c r="F10" s="15"/>
      <c r="G10" s="26" t="s">
        <v>8</v>
      </c>
      <c r="H10" s="33"/>
      <c r="I10" s="15"/>
      <c r="J10" s="23" t="s">
        <v>9</v>
      </c>
      <c r="K10" s="33"/>
      <c r="L10" s="15"/>
    </row>
    <row r="11" spans="1:12">
      <c r="A11" s="20">
        <f>SUM(Cartões!$E$4:$E$53)</f>
        <v>1855.1500000000015</v>
      </c>
      <c r="B11" s="33"/>
      <c r="C11" s="15"/>
      <c r="D11" s="21">
        <f>SUMIFS(Cartões!$H:$H,Cartões!$I:$I,"Aberta")</f>
        <v>5549.77</v>
      </c>
      <c r="E11" s="33"/>
      <c r="F11" s="15"/>
      <c r="G11" s="22">
        <f>SUM(Dívidas!$D$4:$D$83)</f>
        <v>10174.66</v>
      </c>
      <c r="H11" s="33"/>
      <c r="I11" s="15"/>
      <c r="J11" s="24">
        <f>IFERROR(AVERAGE(Metas!$F$4:$F$83),0)</f>
        <v>3.2142857142857138E-3</v>
      </c>
      <c r="K11" s="33"/>
      <c r="L11" s="15"/>
    </row>
    <row r="12" spans="1:12">
      <c r="A12" s="33"/>
      <c r="B12" s="33"/>
      <c r="C12" s="15"/>
      <c r="D12" s="33"/>
      <c r="E12" s="33"/>
      <c r="F12" s="15"/>
      <c r="G12" s="33"/>
      <c r="H12" s="33"/>
      <c r="I12" s="15"/>
      <c r="J12" s="33"/>
      <c r="K12" s="33"/>
      <c r="L12" s="15"/>
    </row>
    <row r="16" spans="1:12">
      <c r="A16" s="2" t="s">
        <v>10</v>
      </c>
      <c r="B16" s="2" t="s">
        <v>11</v>
      </c>
      <c r="C16" s="2" t="s">
        <v>12</v>
      </c>
      <c r="D16" s="2" t="s">
        <v>13</v>
      </c>
      <c r="E16" s="15"/>
      <c r="F16" s="15"/>
      <c r="G16" s="2" t="s">
        <v>14</v>
      </c>
      <c r="H16" s="2" t="s">
        <v>12</v>
      </c>
      <c r="I16" s="15"/>
      <c r="J16" s="15"/>
      <c r="K16" s="15"/>
      <c r="L16" s="15"/>
    </row>
    <row r="17" spans="1:9">
      <c r="A17" s="14">
        <f>'Planejamento Mensal'!A4</f>
        <v>46235</v>
      </c>
      <c r="B17" s="3">
        <f>'Planejamento Mensal'!C4</f>
        <v>17632.86</v>
      </c>
      <c r="C17" s="3">
        <f>'Planejamento Mensal'!E4</f>
        <v>12565.099999999999</v>
      </c>
      <c r="D17" s="3">
        <f>'Planejamento Mensal'!G4</f>
        <v>5067.760000000002</v>
      </c>
      <c r="E17" s="15"/>
      <c r="F17" s="15"/>
      <c r="G17" s="15" t="s">
        <v>15</v>
      </c>
      <c r="H17" s="3">
        <f>SUMIFS(Lançamentos!$I:$I,Lançamentos!$B:$B,$B$3,Lançamentos!$C:$C,"Despesa",Lançamentos!$E:$E,G17)</f>
        <v>3000</v>
      </c>
      <c r="I17" s="15"/>
    </row>
    <row r="18" spans="1:9">
      <c r="A18" s="14">
        <f>'Planejamento Mensal'!A5</f>
        <v>46266</v>
      </c>
      <c r="B18" s="3">
        <f>'Planejamento Mensal'!C5</f>
        <v>0</v>
      </c>
      <c r="C18" s="3">
        <f>'Planejamento Mensal'!E5</f>
        <v>0</v>
      </c>
      <c r="D18" s="3">
        <f>'Planejamento Mensal'!G5</f>
        <v>0</v>
      </c>
      <c r="E18" s="15"/>
      <c r="F18" s="15"/>
      <c r="G18" s="15" t="s">
        <v>16</v>
      </c>
      <c r="H18" s="3">
        <f>SUMIFS(Lançamentos!$I:$I,Lançamentos!$B:$B,$B$3,Lançamentos!$C:$C,"Despesa",Lançamentos!$E:$E,G18)</f>
        <v>549.46</v>
      </c>
      <c r="I18" s="15"/>
    </row>
    <row r="19" spans="1:9">
      <c r="A19" s="14">
        <f>'Planejamento Mensal'!A6</f>
        <v>46296</v>
      </c>
      <c r="B19" s="3">
        <f>'Planejamento Mensal'!C6</f>
        <v>0</v>
      </c>
      <c r="C19" s="3">
        <f>'Planejamento Mensal'!E6</f>
        <v>0</v>
      </c>
      <c r="D19" s="3">
        <f>'Planejamento Mensal'!G6</f>
        <v>0</v>
      </c>
      <c r="E19" s="15"/>
      <c r="F19" s="15"/>
      <c r="G19" s="15" t="s">
        <v>17</v>
      </c>
      <c r="H19" s="3">
        <f>SUMIFS(Lançamentos!$I:$I,Lançamentos!$B:$B,$B$3,Lançamentos!$C:$C,"Despesa",Lançamentos!$E:$E,G19)</f>
        <v>98.37</v>
      </c>
      <c r="I19" s="15"/>
    </row>
    <row r="20" spans="1:9">
      <c r="A20" s="14">
        <f>'Planejamento Mensal'!A7</f>
        <v>46327</v>
      </c>
      <c r="B20" s="3">
        <f>'Planejamento Mensal'!C7</f>
        <v>0</v>
      </c>
      <c r="C20" s="3">
        <f>'Planejamento Mensal'!E7</f>
        <v>0</v>
      </c>
      <c r="D20" s="3">
        <f>'Planejamento Mensal'!G7</f>
        <v>0</v>
      </c>
      <c r="E20" s="15"/>
      <c r="F20" s="15"/>
      <c r="G20" s="15" t="s">
        <v>18</v>
      </c>
      <c r="H20" s="3">
        <f>SUMIFS(Lançamentos!$I:$I,Lançamentos!$B:$B,$B$3,Lançamentos!$C:$C,"Despesa",Lançamentos!$E:$E,G20)</f>
        <v>130</v>
      </c>
      <c r="I20" s="15"/>
    </row>
    <row r="21" spans="1:9">
      <c r="A21" s="14">
        <f>'Planejamento Mensal'!A8</f>
        <v>46357</v>
      </c>
      <c r="B21" s="3">
        <f>'Planejamento Mensal'!C8</f>
        <v>0</v>
      </c>
      <c r="C21" s="3">
        <f>'Planejamento Mensal'!E8</f>
        <v>0</v>
      </c>
      <c r="D21" s="3">
        <f>'Planejamento Mensal'!G8</f>
        <v>0</v>
      </c>
      <c r="E21" s="15"/>
      <c r="F21" s="15"/>
      <c r="G21" s="15" t="s">
        <v>19</v>
      </c>
      <c r="H21" s="3">
        <f>SUMIFS(Lançamentos!$I:$I,Lançamentos!$B:$B,$B$3,Lançamentos!$C:$C,"Despesa",Lançamentos!$E:$E,G21)</f>
        <v>109.28999999999999</v>
      </c>
      <c r="I21" s="15"/>
    </row>
    <row r="22" spans="1:9">
      <c r="A22" s="14">
        <f>'Planejamento Mensal'!A9</f>
        <v>46388</v>
      </c>
      <c r="B22" s="3">
        <f>'Planejamento Mensal'!C9</f>
        <v>0</v>
      </c>
      <c r="C22" s="3">
        <f>'Planejamento Mensal'!E9</f>
        <v>0</v>
      </c>
      <c r="D22" s="3">
        <f>'Planejamento Mensal'!G9</f>
        <v>0</v>
      </c>
      <c r="E22" s="15"/>
      <c r="F22" s="15"/>
      <c r="G22" s="15" t="s">
        <v>20</v>
      </c>
      <c r="H22" s="3">
        <f>SUMIFS(Lançamentos!$I:$I,Lançamentos!$B:$B,$B$3,Lançamentos!$C:$C,"Despesa",Lançamentos!$E:$E,G22)</f>
        <v>85.92</v>
      </c>
      <c r="I22" s="15"/>
    </row>
    <row r="23" spans="1:9">
      <c r="A23" s="14">
        <f>'Planejamento Mensal'!A10</f>
        <v>46419</v>
      </c>
      <c r="B23" s="3">
        <f>'Planejamento Mensal'!C10</f>
        <v>0</v>
      </c>
      <c r="C23" s="3">
        <f>'Planejamento Mensal'!E10</f>
        <v>0</v>
      </c>
      <c r="D23" s="3">
        <f>'Planejamento Mensal'!G10</f>
        <v>0</v>
      </c>
      <c r="E23" s="15"/>
      <c r="F23" s="15"/>
      <c r="G23" s="15" t="s">
        <v>21</v>
      </c>
      <c r="H23" s="3">
        <f>SUMIFS(Lançamentos!$I:$I,Lançamentos!$B:$B,$B$3,Lançamentos!$C:$C,"Despesa",Lançamentos!$E:$E,G23)</f>
        <v>72.89</v>
      </c>
      <c r="I23" s="15"/>
    </row>
    <row r="24" spans="1:9">
      <c r="A24" s="14">
        <f>'Planejamento Mensal'!A11</f>
        <v>46447</v>
      </c>
      <c r="B24" s="3">
        <f>'Planejamento Mensal'!C11</f>
        <v>0</v>
      </c>
      <c r="C24" s="3">
        <f>'Planejamento Mensal'!E11</f>
        <v>0</v>
      </c>
      <c r="D24" s="3">
        <f>'Planejamento Mensal'!G11</f>
        <v>0</v>
      </c>
      <c r="E24" s="15"/>
      <c r="F24" s="15"/>
      <c r="G24" s="15" t="s">
        <v>22</v>
      </c>
      <c r="H24" s="3">
        <f>SUMIFS(Lançamentos!$I:$I,Lançamentos!$B:$B,$B$3,Lançamentos!$C:$C,"Despesa",Lançamentos!$E:$E,G24)</f>
        <v>0</v>
      </c>
      <c r="I24" s="15"/>
    </row>
    <row r="25" spans="1:9">
      <c r="A25" s="14">
        <f>'Planejamento Mensal'!A12</f>
        <v>46478</v>
      </c>
      <c r="B25" s="3">
        <f>'Planejamento Mensal'!C12</f>
        <v>0</v>
      </c>
      <c r="C25" s="3">
        <f>'Planejamento Mensal'!E12</f>
        <v>0</v>
      </c>
      <c r="D25" s="3">
        <f>'Planejamento Mensal'!G12</f>
        <v>0</v>
      </c>
      <c r="E25" s="15"/>
      <c r="F25" s="15"/>
      <c r="G25" s="15" t="s">
        <v>23</v>
      </c>
      <c r="H25" s="3">
        <f>SUMIFS(Lançamentos!$I:$I,Lançamentos!$B:$B,$B$3,Lançamentos!$C:$C,"Despesa",Lançamentos!$E:$E,G25)</f>
        <v>304.09000000000003</v>
      </c>
      <c r="I25" s="15"/>
    </row>
    <row r="26" spans="1:9">
      <c r="A26" s="14">
        <f>'Planejamento Mensal'!A13</f>
        <v>46508</v>
      </c>
      <c r="B26" s="3">
        <f>'Planejamento Mensal'!C13</f>
        <v>0</v>
      </c>
      <c r="C26" s="3">
        <f>'Planejamento Mensal'!E13</f>
        <v>0</v>
      </c>
      <c r="D26" s="3">
        <f>'Planejamento Mensal'!G13</f>
        <v>0</v>
      </c>
      <c r="E26" s="15"/>
      <c r="F26" s="15"/>
      <c r="G26" s="15" t="s">
        <v>24</v>
      </c>
      <c r="H26" s="3">
        <f>SUMIFS(Lançamentos!$I:$I,Lançamentos!$B:$B,$B$3,Lançamentos!$C:$C,"Despesa",Lançamentos!$E:$E,G26)</f>
        <v>4683.05</v>
      </c>
      <c r="I26" s="15"/>
    </row>
    <row r="27" spans="1:9">
      <c r="A27" s="14">
        <f>'Planejamento Mensal'!A14</f>
        <v>46539</v>
      </c>
      <c r="B27" s="3">
        <f>'Planejamento Mensal'!C14</f>
        <v>0</v>
      </c>
      <c r="C27" s="3">
        <f>'Planejamento Mensal'!E14</f>
        <v>0</v>
      </c>
      <c r="D27" s="3">
        <f>'Planejamento Mensal'!G14</f>
        <v>0</v>
      </c>
      <c r="E27" s="15"/>
      <c r="F27" s="15"/>
      <c r="G27" s="15" t="s">
        <v>25</v>
      </c>
      <c r="H27" s="3">
        <f>SUMIFS(Lançamentos!$I:$I,Lançamentos!$B:$B,$B$3,Lançamentos!$C:$C,"Despesa",Lançamentos!$E:$E,G27)</f>
        <v>1134.7</v>
      </c>
      <c r="I27" s="15"/>
    </row>
    <row r="28" spans="1:9">
      <c r="A28" s="14">
        <f>'Planejamento Mensal'!A15</f>
        <v>46569</v>
      </c>
      <c r="B28" s="3">
        <f>'Planejamento Mensal'!C15</f>
        <v>0</v>
      </c>
      <c r="C28" s="3">
        <f>'Planejamento Mensal'!E15</f>
        <v>0</v>
      </c>
      <c r="D28" s="3">
        <f>'Planejamento Mensal'!G15</f>
        <v>0</v>
      </c>
      <c r="E28" s="15"/>
      <c r="F28" s="15"/>
      <c r="G28" s="15"/>
      <c r="H28" s="15"/>
      <c r="I28" s="15"/>
    </row>
    <row r="31" spans="1:9">
      <c r="A31" s="15"/>
      <c r="B31" s="15"/>
      <c r="C31" s="15"/>
      <c r="D31" s="15"/>
      <c r="E31" s="15"/>
      <c r="F31" s="15"/>
      <c r="G31" s="4" t="s">
        <v>26</v>
      </c>
      <c r="H31" s="15"/>
      <c r="I31" s="15"/>
    </row>
    <row r="32" spans="1:9">
      <c r="A32" s="15"/>
      <c r="B32" s="15"/>
      <c r="C32" s="15"/>
      <c r="D32" s="15"/>
      <c r="E32" s="15"/>
      <c r="F32" s="15"/>
      <c r="G32" s="16" t="s">
        <v>27</v>
      </c>
      <c r="H32" s="5">
        <f>IFERROR(G6/B6,0)</f>
        <v>0</v>
      </c>
      <c r="I32" s="16" t="s">
        <v>28</v>
      </c>
    </row>
    <row r="33" spans="7:9">
      <c r="G33" s="16" t="s">
        <v>29</v>
      </c>
      <c r="H33" s="5">
        <f>IFERROR(E6/B6,0)</f>
        <v>0</v>
      </c>
      <c r="I33" s="16" t="s">
        <v>30</v>
      </c>
    </row>
    <row r="34" spans="7:9">
      <c r="G34" s="16" t="s">
        <v>31</v>
      </c>
      <c r="H34" s="5">
        <f>IFERROR(SUM(Cartões!$D$4:$D$53)/SUM(Cartões!$C$4:$C$53),0)</f>
        <v>0.92644519539611903</v>
      </c>
      <c r="I34" s="16" t="s">
        <v>32</v>
      </c>
    </row>
  </sheetData>
  <mergeCells count="17">
    <mergeCell ref="A1:L1"/>
    <mergeCell ref="D5:E5"/>
    <mergeCell ref="A5:B5"/>
    <mergeCell ref="A6:B7"/>
    <mergeCell ref="G5:H5"/>
    <mergeCell ref="D6:E7"/>
    <mergeCell ref="J5:K5"/>
    <mergeCell ref="G6:H7"/>
    <mergeCell ref="J6:K7"/>
    <mergeCell ref="A10:B10"/>
    <mergeCell ref="A11:B12"/>
    <mergeCell ref="D11:E12"/>
    <mergeCell ref="G11:H12"/>
    <mergeCell ref="J10:K10"/>
    <mergeCell ref="J11:K12"/>
    <mergeCell ref="D10:E10"/>
    <mergeCell ref="G10:H10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02"/>
  <sheetViews>
    <sheetView showGridLines="0" workbookViewId="0">
      <pane ySplit="3" topLeftCell="A5" activePane="bottomLeft" state="frozen"/>
      <selection pane="bottomLeft" activeCell="D14" sqref="D14"/>
    </sheetView>
  </sheetViews>
  <sheetFormatPr defaultRowHeight="14.45"/>
  <cols>
    <col min="1" max="3" width="13" customWidth="1"/>
    <col min="4" max="4" width="30.140625" customWidth="1"/>
    <col min="5" max="6" width="18" customWidth="1"/>
    <col min="7" max="7" width="22" customWidth="1"/>
    <col min="8" max="10" width="15" customWidth="1"/>
    <col min="11" max="11" width="28" customWidth="1"/>
    <col min="12" max="12" width="10" customWidth="1"/>
  </cols>
  <sheetData>
    <row r="1" spans="1:12" ht="30" customHeight="1">
      <c r="A1" s="18" t="s">
        <v>33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</row>
    <row r="3" spans="1:12">
      <c r="A3" s="17" t="s">
        <v>34</v>
      </c>
      <c r="B3" s="17" t="s">
        <v>10</v>
      </c>
      <c r="C3" s="17" t="s">
        <v>35</v>
      </c>
      <c r="D3" s="17" t="s">
        <v>36</v>
      </c>
      <c r="E3" s="17" t="s">
        <v>14</v>
      </c>
      <c r="F3" s="17" t="s">
        <v>37</v>
      </c>
      <c r="G3" s="17" t="s">
        <v>38</v>
      </c>
      <c r="H3" s="17" t="s">
        <v>39</v>
      </c>
      <c r="I3" s="17" t="s">
        <v>40</v>
      </c>
      <c r="J3" s="17" t="s">
        <v>41</v>
      </c>
      <c r="K3" s="17" t="s">
        <v>42</v>
      </c>
      <c r="L3" s="17" t="s">
        <v>43</v>
      </c>
    </row>
    <row r="4" spans="1:12">
      <c r="A4" s="6">
        <v>46240</v>
      </c>
      <c r="B4" s="16" t="str">
        <f>TEXT(A4,"mmm/aaaa")</f>
        <v>ago/2026</v>
      </c>
      <c r="C4" s="16" t="s">
        <v>44</v>
      </c>
      <c r="D4" s="16" t="s">
        <v>45</v>
      </c>
      <c r="E4" s="16" t="s">
        <v>15</v>
      </c>
      <c r="F4" s="16" t="s">
        <v>46</v>
      </c>
      <c r="G4" s="16" t="s">
        <v>47</v>
      </c>
      <c r="H4" s="7">
        <v>1500</v>
      </c>
      <c r="I4" s="7">
        <v>1500</v>
      </c>
      <c r="J4" s="16" t="s">
        <v>48</v>
      </c>
      <c r="K4" s="16"/>
      <c r="L4" s="16">
        <v>1</v>
      </c>
    </row>
    <row r="5" spans="1:12">
      <c r="A5" s="6">
        <v>46262</v>
      </c>
      <c r="B5" s="16" t="str">
        <f t="shared" ref="B5:B14" si="0">IF(A5="","",TEXT(A5,"mmm/aaaa"))</f>
        <v>ago/2026</v>
      </c>
      <c r="C5" s="16" t="s">
        <v>49</v>
      </c>
      <c r="D5" s="16" t="s">
        <v>50</v>
      </c>
      <c r="E5" s="16" t="s">
        <v>51</v>
      </c>
      <c r="F5" s="16" t="s">
        <v>46</v>
      </c>
      <c r="G5" s="16" t="s">
        <v>52</v>
      </c>
      <c r="H5" s="7">
        <v>1200</v>
      </c>
      <c r="I5" s="7">
        <v>1571</v>
      </c>
      <c r="J5" s="16" t="s">
        <v>40</v>
      </c>
      <c r="K5" s="16"/>
      <c r="L5" s="16">
        <v>2</v>
      </c>
    </row>
    <row r="6" spans="1:12">
      <c r="A6" s="6">
        <v>46262</v>
      </c>
      <c r="B6" s="16" t="str">
        <f t="shared" si="0"/>
        <v>ago/2026</v>
      </c>
      <c r="C6" s="16" t="s">
        <v>49</v>
      </c>
      <c r="D6" s="16" t="s">
        <v>53</v>
      </c>
      <c r="E6" s="16" t="s">
        <v>54</v>
      </c>
      <c r="F6" s="16" t="s">
        <v>46</v>
      </c>
      <c r="G6" s="16" t="s">
        <v>52</v>
      </c>
      <c r="H6" s="7">
        <v>2917.75</v>
      </c>
      <c r="I6" s="7">
        <v>2917.75</v>
      </c>
      <c r="J6" s="16" t="s">
        <v>40</v>
      </c>
      <c r="K6" s="16"/>
      <c r="L6" s="16">
        <v>3</v>
      </c>
    </row>
    <row r="7" spans="1:12">
      <c r="A7" s="6">
        <v>46248</v>
      </c>
      <c r="B7" s="16" t="str">
        <f t="shared" si="0"/>
        <v>ago/2026</v>
      </c>
      <c r="C7" s="16" t="s">
        <v>49</v>
      </c>
      <c r="D7" s="16" t="s">
        <v>55</v>
      </c>
      <c r="E7" s="16" t="s">
        <v>51</v>
      </c>
      <c r="F7" s="16" t="s">
        <v>46</v>
      </c>
      <c r="G7" s="16" t="s">
        <v>52</v>
      </c>
      <c r="H7" s="7">
        <v>892.95</v>
      </c>
      <c r="I7" s="7">
        <v>892.95</v>
      </c>
      <c r="J7" s="16" t="s">
        <v>40</v>
      </c>
      <c r="K7" s="16"/>
      <c r="L7" s="16">
        <v>4</v>
      </c>
    </row>
    <row r="8" spans="1:12">
      <c r="A8" s="6">
        <v>46265</v>
      </c>
      <c r="B8" s="16" t="str">
        <f t="shared" si="0"/>
        <v>ago/2026</v>
      </c>
      <c r="C8" s="16" t="s">
        <v>49</v>
      </c>
      <c r="D8" s="16" t="s">
        <v>56</v>
      </c>
      <c r="E8" s="16" t="s">
        <v>51</v>
      </c>
      <c r="F8" s="16" t="s">
        <v>46</v>
      </c>
      <c r="G8" s="16" t="s">
        <v>52</v>
      </c>
      <c r="H8" s="7">
        <v>405.25</v>
      </c>
      <c r="I8" s="7">
        <v>405.25</v>
      </c>
      <c r="J8" s="16" t="s">
        <v>40</v>
      </c>
      <c r="K8" s="16"/>
      <c r="L8" s="16">
        <v>5</v>
      </c>
    </row>
    <row r="9" spans="1:12">
      <c r="A9" s="6">
        <v>46249</v>
      </c>
      <c r="B9" s="16" t="str">
        <f t="shared" si="0"/>
        <v>ago/2026</v>
      </c>
      <c r="C9" s="16" t="s">
        <v>49</v>
      </c>
      <c r="D9" s="16" t="s">
        <v>57</v>
      </c>
      <c r="E9" s="16" t="s">
        <v>51</v>
      </c>
      <c r="F9" s="16" t="s">
        <v>46</v>
      </c>
      <c r="G9" s="16" t="s">
        <v>52</v>
      </c>
      <c r="H9" s="7">
        <v>405.25</v>
      </c>
      <c r="I9" s="7">
        <v>405.25</v>
      </c>
      <c r="J9" s="16" t="s">
        <v>40</v>
      </c>
      <c r="K9" s="16"/>
      <c r="L9" s="16">
        <v>6</v>
      </c>
    </row>
    <row r="10" spans="1:12">
      <c r="A10" s="6">
        <v>46244</v>
      </c>
      <c r="B10" s="16" t="str">
        <f t="shared" si="0"/>
        <v>ago/2026</v>
      </c>
      <c r="C10" s="16" t="s">
        <v>49</v>
      </c>
      <c r="D10" s="16" t="s">
        <v>58</v>
      </c>
      <c r="E10" s="16" t="s">
        <v>51</v>
      </c>
      <c r="F10" s="16" t="s">
        <v>46</v>
      </c>
      <c r="G10" s="16" t="s">
        <v>47</v>
      </c>
      <c r="H10" s="7">
        <v>3000</v>
      </c>
      <c r="I10" s="7">
        <v>3000</v>
      </c>
      <c r="J10" s="16" t="s">
        <v>40</v>
      </c>
      <c r="K10" s="16"/>
      <c r="L10" s="16">
        <v>7</v>
      </c>
    </row>
    <row r="11" spans="1:12">
      <c r="A11" s="6">
        <v>46254</v>
      </c>
      <c r="B11" s="16" t="str">
        <f t="shared" si="0"/>
        <v>ago/2026</v>
      </c>
      <c r="C11" s="16" t="s">
        <v>49</v>
      </c>
      <c r="D11" s="16" t="s">
        <v>58</v>
      </c>
      <c r="E11" s="16" t="s">
        <v>51</v>
      </c>
      <c r="F11" s="16" t="s">
        <v>46</v>
      </c>
      <c r="G11" s="16" t="s">
        <v>47</v>
      </c>
      <c r="H11" s="7">
        <v>3000</v>
      </c>
      <c r="I11" s="7">
        <v>3000</v>
      </c>
      <c r="J11" s="16" t="s">
        <v>40</v>
      </c>
      <c r="K11" s="16"/>
      <c r="L11" s="16">
        <v>8</v>
      </c>
    </row>
    <row r="12" spans="1:12">
      <c r="A12" s="6">
        <v>46246</v>
      </c>
      <c r="B12" s="16" t="str">
        <f t="shared" si="0"/>
        <v>ago/2026</v>
      </c>
      <c r="C12" s="16" t="s">
        <v>44</v>
      </c>
      <c r="D12" s="16" t="s">
        <v>45</v>
      </c>
      <c r="E12" s="16" t="s">
        <v>15</v>
      </c>
      <c r="F12" s="16" t="s">
        <v>46</v>
      </c>
      <c r="G12" s="16" t="s">
        <v>47</v>
      </c>
      <c r="H12" s="7">
        <v>1500</v>
      </c>
      <c r="I12" s="7">
        <v>1500</v>
      </c>
      <c r="J12" s="16" t="s">
        <v>48</v>
      </c>
      <c r="K12" s="16"/>
      <c r="L12" s="16">
        <v>9</v>
      </c>
    </row>
    <row r="13" spans="1:12">
      <c r="A13" s="6">
        <v>46244</v>
      </c>
      <c r="B13" s="16" t="str">
        <f t="shared" si="0"/>
        <v>ago/2026</v>
      </c>
      <c r="C13" s="16" t="s">
        <v>44</v>
      </c>
      <c r="D13" s="16" t="s">
        <v>25</v>
      </c>
      <c r="E13" s="16" t="s">
        <v>25</v>
      </c>
      <c r="F13" s="16" t="s">
        <v>59</v>
      </c>
      <c r="G13" s="16" t="s">
        <v>47</v>
      </c>
      <c r="H13" s="7">
        <v>1134.7</v>
      </c>
      <c r="I13" s="7">
        <v>1134.7</v>
      </c>
      <c r="J13" s="16" t="s">
        <v>48</v>
      </c>
      <c r="K13" s="16"/>
      <c r="L13" s="16">
        <v>10</v>
      </c>
    </row>
    <row r="14" spans="1:12">
      <c r="A14" s="6">
        <v>46254</v>
      </c>
      <c r="B14" s="16" t="str">
        <f t="shared" si="0"/>
        <v>ago/2026</v>
      </c>
      <c r="C14" s="16" t="s">
        <v>44</v>
      </c>
      <c r="D14" s="16" t="s">
        <v>60</v>
      </c>
      <c r="E14" s="16" t="s">
        <v>24</v>
      </c>
      <c r="F14" s="16" t="s">
        <v>59</v>
      </c>
      <c r="G14" s="16" t="s">
        <v>47</v>
      </c>
      <c r="H14" s="7">
        <v>3000</v>
      </c>
      <c r="I14" s="7">
        <v>3000</v>
      </c>
      <c r="J14" s="16" t="s">
        <v>48</v>
      </c>
      <c r="K14" s="16"/>
      <c r="L14" s="16">
        <v>11</v>
      </c>
    </row>
    <row r="15" spans="1:12">
      <c r="A15" s="6">
        <v>46237</v>
      </c>
      <c r="B15" s="16" t="str">
        <f t="shared" ref="B15:B37" si="1">IF(A15="","",TEXT(A15,"mmm/aaaa"))</f>
        <v>ago/2026</v>
      </c>
      <c r="C15" s="16" t="s">
        <v>44</v>
      </c>
      <c r="D15" s="16" t="s">
        <v>61</v>
      </c>
      <c r="E15" s="16" t="s">
        <v>61</v>
      </c>
      <c r="F15" s="16" t="s">
        <v>62</v>
      </c>
      <c r="G15" s="16" t="s">
        <v>47</v>
      </c>
      <c r="H15" s="7">
        <v>90.82</v>
      </c>
      <c r="I15" s="7">
        <v>90.82</v>
      </c>
      <c r="J15" s="16" t="s">
        <v>48</v>
      </c>
      <c r="K15" s="16"/>
      <c r="L15" s="16"/>
    </row>
    <row r="16" spans="1:12">
      <c r="A16" s="6">
        <v>46237</v>
      </c>
      <c r="B16" s="16" t="str">
        <f t="shared" si="1"/>
        <v>ago/2026</v>
      </c>
      <c r="C16" s="16" t="s">
        <v>44</v>
      </c>
      <c r="D16" s="16" t="s">
        <v>63</v>
      </c>
      <c r="E16" s="16" t="s">
        <v>23</v>
      </c>
      <c r="F16" s="16" t="s">
        <v>59</v>
      </c>
      <c r="G16" s="16" t="s">
        <v>47</v>
      </c>
      <c r="H16" s="7">
        <v>70</v>
      </c>
      <c r="I16" s="7">
        <v>70</v>
      </c>
      <c r="J16" s="16" t="s">
        <v>48</v>
      </c>
      <c r="K16" s="16"/>
      <c r="L16" s="16"/>
    </row>
    <row r="17" spans="1:12">
      <c r="A17" s="6">
        <v>46237</v>
      </c>
      <c r="B17" s="16" t="str">
        <f t="shared" si="1"/>
        <v>ago/2026</v>
      </c>
      <c r="C17" s="16" t="s">
        <v>44</v>
      </c>
      <c r="D17" s="16" t="s">
        <v>64</v>
      </c>
      <c r="E17" s="16" t="s">
        <v>61</v>
      </c>
      <c r="F17" s="16" t="s">
        <v>62</v>
      </c>
      <c r="G17" s="16" t="s">
        <v>47</v>
      </c>
      <c r="H17" s="7">
        <v>52</v>
      </c>
      <c r="I17" s="7">
        <v>52</v>
      </c>
      <c r="J17" s="16" t="s">
        <v>48</v>
      </c>
      <c r="K17" s="16"/>
      <c r="L17" s="16"/>
    </row>
    <row r="18" spans="1:12">
      <c r="A18" s="6">
        <v>46237</v>
      </c>
      <c r="B18" s="16" t="str">
        <f t="shared" si="1"/>
        <v>ago/2026</v>
      </c>
      <c r="C18" s="16" t="s">
        <v>44</v>
      </c>
      <c r="D18" s="16" t="s">
        <v>65</v>
      </c>
      <c r="E18" s="16" t="s">
        <v>19</v>
      </c>
      <c r="F18" s="16" t="s">
        <v>66</v>
      </c>
      <c r="G18" s="16" t="s">
        <v>47</v>
      </c>
      <c r="H18" s="7">
        <v>54.11</v>
      </c>
      <c r="I18" s="7">
        <v>54.11</v>
      </c>
      <c r="J18" s="16" t="s">
        <v>48</v>
      </c>
      <c r="K18" s="16"/>
      <c r="L18" s="16"/>
    </row>
    <row r="19" spans="1:12">
      <c r="A19" s="6">
        <v>46237</v>
      </c>
      <c r="B19" s="16" t="str">
        <f t="shared" si="1"/>
        <v>ago/2026</v>
      </c>
      <c r="C19" s="16" t="s">
        <v>49</v>
      </c>
      <c r="D19" s="16" t="s">
        <v>67</v>
      </c>
      <c r="E19" s="16" t="s">
        <v>54</v>
      </c>
      <c r="F19" s="16" t="s">
        <v>46</v>
      </c>
      <c r="G19" s="16" t="s">
        <v>47</v>
      </c>
      <c r="H19" s="7">
        <v>1000</v>
      </c>
      <c r="I19" s="7">
        <v>1000</v>
      </c>
      <c r="J19" s="16" t="s">
        <v>48</v>
      </c>
      <c r="K19" s="16"/>
      <c r="L19" s="16"/>
    </row>
    <row r="20" spans="1:12">
      <c r="A20" s="6">
        <v>46238</v>
      </c>
      <c r="B20" s="16" t="str">
        <f t="shared" si="1"/>
        <v>ago/2026</v>
      </c>
      <c r="C20" s="16" t="s">
        <v>44</v>
      </c>
      <c r="D20" s="16" t="s">
        <v>68</v>
      </c>
      <c r="E20" s="16" t="s">
        <v>68</v>
      </c>
      <c r="F20" s="16" t="s">
        <v>62</v>
      </c>
      <c r="G20" s="16" t="s">
        <v>47</v>
      </c>
      <c r="H20" s="7">
        <v>10.09</v>
      </c>
      <c r="I20" s="7">
        <v>10.09</v>
      </c>
      <c r="J20" s="16" t="s">
        <v>48</v>
      </c>
      <c r="K20" s="16"/>
      <c r="L20" s="16"/>
    </row>
    <row r="21" spans="1:12">
      <c r="A21" s="6">
        <v>46240</v>
      </c>
      <c r="B21" s="16" t="str">
        <f t="shared" si="1"/>
        <v>ago/2026</v>
      </c>
      <c r="C21" s="16" t="s">
        <v>44</v>
      </c>
      <c r="D21" s="16" t="s">
        <v>69</v>
      </c>
      <c r="E21" s="16" t="s">
        <v>17</v>
      </c>
      <c r="F21" s="16" t="s">
        <v>59</v>
      </c>
      <c r="G21" s="16" t="s">
        <v>47</v>
      </c>
      <c r="H21" s="7">
        <v>68.84</v>
      </c>
      <c r="I21" s="7">
        <v>68.84</v>
      </c>
      <c r="J21" s="16" t="s">
        <v>48</v>
      </c>
      <c r="K21" s="16"/>
      <c r="L21" s="16"/>
    </row>
    <row r="22" spans="1:12">
      <c r="A22" s="6">
        <v>46240</v>
      </c>
      <c r="B22" s="16" t="str">
        <f t="shared" si="1"/>
        <v>ago/2026</v>
      </c>
      <c r="C22" s="16" t="s">
        <v>49</v>
      </c>
      <c r="D22" s="16" t="s">
        <v>67</v>
      </c>
      <c r="E22" s="16" t="s">
        <v>54</v>
      </c>
      <c r="F22" s="16" t="s">
        <v>46</v>
      </c>
      <c r="G22" s="16" t="s">
        <v>47</v>
      </c>
      <c r="H22" s="7">
        <v>1000</v>
      </c>
      <c r="I22" s="7">
        <v>1000</v>
      </c>
      <c r="J22" s="16" t="s">
        <v>48</v>
      </c>
      <c r="K22" s="16"/>
      <c r="L22" s="16"/>
    </row>
    <row r="23" spans="1:12">
      <c r="A23" s="6">
        <v>46240</v>
      </c>
      <c r="B23" s="16" t="str">
        <f t="shared" si="1"/>
        <v>ago/2026</v>
      </c>
      <c r="C23" s="16" t="s">
        <v>49</v>
      </c>
      <c r="D23" s="16" t="s">
        <v>70</v>
      </c>
      <c r="E23" s="16" t="s">
        <v>70</v>
      </c>
      <c r="F23" s="16" t="s">
        <v>59</v>
      </c>
      <c r="G23" s="16" t="s">
        <v>47</v>
      </c>
      <c r="H23" s="7">
        <v>24</v>
      </c>
      <c r="I23" s="7">
        <v>24</v>
      </c>
      <c r="J23" s="16" t="s">
        <v>48</v>
      </c>
      <c r="K23" s="16"/>
      <c r="L23" s="16"/>
    </row>
    <row r="24" spans="1:12">
      <c r="A24" s="6">
        <v>46240</v>
      </c>
      <c r="B24" s="16" t="str">
        <f t="shared" si="1"/>
        <v>ago/2026</v>
      </c>
      <c r="C24" s="16" t="s">
        <v>44</v>
      </c>
      <c r="D24" s="16" t="s">
        <v>71</v>
      </c>
      <c r="E24" s="16" t="s">
        <v>21</v>
      </c>
      <c r="F24" s="16" t="s">
        <v>59</v>
      </c>
      <c r="G24" s="16" t="s">
        <v>47</v>
      </c>
      <c r="H24" s="7">
        <v>72.89</v>
      </c>
      <c r="I24" s="7">
        <v>72.89</v>
      </c>
      <c r="J24" s="16" t="s">
        <v>48</v>
      </c>
      <c r="K24" s="16"/>
      <c r="L24" s="16"/>
    </row>
    <row r="25" spans="1:12">
      <c r="A25" s="6">
        <v>46241</v>
      </c>
      <c r="B25" s="16" t="str">
        <f t="shared" si="1"/>
        <v>ago/2026</v>
      </c>
      <c r="C25" s="16" t="s">
        <v>44</v>
      </c>
      <c r="D25" s="16" t="s">
        <v>72</v>
      </c>
      <c r="E25" s="16" t="s">
        <v>23</v>
      </c>
      <c r="F25" s="16" t="s">
        <v>62</v>
      </c>
      <c r="G25" s="16" t="s">
        <v>47</v>
      </c>
      <c r="H25" s="7">
        <v>48.66</v>
      </c>
      <c r="I25" s="7">
        <v>48.66</v>
      </c>
      <c r="J25" s="16" t="s">
        <v>48</v>
      </c>
      <c r="K25" s="16"/>
      <c r="L25" s="16"/>
    </row>
    <row r="26" spans="1:12">
      <c r="A26" s="6">
        <v>46241</v>
      </c>
      <c r="B26" s="16" t="str">
        <f t="shared" si="1"/>
        <v>ago/2026</v>
      </c>
      <c r="C26" s="16" t="s">
        <v>44</v>
      </c>
      <c r="D26" s="16" t="s">
        <v>73</v>
      </c>
      <c r="E26" s="16" t="s">
        <v>16</v>
      </c>
      <c r="F26" s="16" t="s">
        <v>62</v>
      </c>
      <c r="G26" s="16" t="s">
        <v>47</v>
      </c>
      <c r="H26" s="7">
        <v>32.880000000000003</v>
      </c>
      <c r="I26" s="7">
        <v>32.880000000000003</v>
      </c>
      <c r="J26" s="16" t="s">
        <v>48</v>
      </c>
      <c r="K26" s="16"/>
      <c r="L26" s="16"/>
    </row>
    <row r="27" spans="1:12">
      <c r="A27" s="6">
        <v>46242</v>
      </c>
      <c r="B27" s="16" t="str">
        <f t="shared" si="1"/>
        <v>ago/2026</v>
      </c>
      <c r="C27" s="16" t="s">
        <v>44</v>
      </c>
      <c r="D27" s="16" t="s">
        <v>74</v>
      </c>
      <c r="E27" s="16" t="s">
        <v>61</v>
      </c>
      <c r="F27" s="16" t="s">
        <v>62</v>
      </c>
      <c r="G27" s="16" t="s">
        <v>47</v>
      </c>
      <c r="H27" s="7">
        <v>87.29</v>
      </c>
      <c r="I27" s="7">
        <v>87.29</v>
      </c>
      <c r="J27" s="16" t="s">
        <v>48</v>
      </c>
      <c r="K27" s="16"/>
      <c r="L27" s="16"/>
    </row>
    <row r="28" spans="1:12">
      <c r="A28" s="6">
        <v>46242</v>
      </c>
      <c r="B28" s="16" t="str">
        <f t="shared" si="1"/>
        <v>ago/2026</v>
      </c>
      <c r="C28" s="16" t="s">
        <v>44</v>
      </c>
      <c r="D28" s="16" t="s">
        <v>75</v>
      </c>
      <c r="E28" s="16" t="s">
        <v>68</v>
      </c>
      <c r="F28" s="16" t="s">
        <v>59</v>
      </c>
      <c r="G28" s="16" t="s">
        <v>47</v>
      </c>
      <c r="H28" s="7">
        <v>10</v>
      </c>
      <c r="I28" s="7">
        <v>10</v>
      </c>
      <c r="J28" s="16" t="s">
        <v>48</v>
      </c>
      <c r="K28" s="16"/>
      <c r="L28" s="16"/>
    </row>
    <row r="29" spans="1:12">
      <c r="A29" s="6">
        <v>46242</v>
      </c>
      <c r="B29" s="16" t="str">
        <f t="shared" si="1"/>
        <v>ago/2026</v>
      </c>
      <c r="C29" s="16" t="s">
        <v>44</v>
      </c>
      <c r="D29" s="16" t="s">
        <v>76</v>
      </c>
      <c r="E29" s="16" t="s">
        <v>23</v>
      </c>
      <c r="F29" s="16" t="s">
        <v>77</v>
      </c>
      <c r="G29" s="16" t="s">
        <v>47</v>
      </c>
      <c r="H29" s="7">
        <v>177.77</v>
      </c>
      <c r="I29" s="7">
        <v>185.43</v>
      </c>
      <c r="J29" s="16" t="s">
        <v>48</v>
      </c>
      <c r="K29" s="16"/>
      <c r="L29" s="16"/>
    </row>
    <row r="30" spans="1:12">
      <c r="A30" s="6">
        <v>46244</v>
      </c>
      <c r="B30" s="16" t="str">
        <f t="shared" si="1"/>
        <v>ago/2026</v>
      </c>
      <c r="C30" s="16" t="s">
        <v>44</v>
      </c>
      <c r="D30" s="16" t="s">
        <v>78</v>
      </c>
      <c r="E30" s="16" t="s">
        <v>79</v>
      </c>
      <c r="F30" s="16" t="s">
        <v>62</v>
      </c>
      <c r="G30" s="16" t="s">
        <v>47</v>
      </c>
      <c r="H30" s="7">
        <v>19.850000000000001</v>
      </c>
      <c r="I30" s="7">
        <v>19.850000000000001</v>
      </c>
      <c r="J30" s="16" t="s">
        <v>48</v>
      </c>
      <c r="K30" s="16"/>
      <c r="L30" s="16"/>
    </row>
    <row r="31" spans="1:12">
      <c r="A31" s="6">
        <v>46245</v>
      </c>
      <c r="B31" s="16" t="str">
        <f t="shared" si="1"/>
        <v>ago/2026</v>
      </c>
      <c r="C31" s="16" t="s">
        <v>44</v>
      </c>
      <c r="D31" s="16" t="s">
        <v>69</v>
      </c>
      <c r="E31" s="16" t="s">
        <v>17</v>
      </c>
      <c r="F31" s="16" t="s">
        <v>59</v>
      </c>
      <c r="G31" s="16" t="s">
        <v>47</v>
      </c>
      <c r="H31" s="7">
        <v>29.53</v>
      </c>
      <c r="I31" s="7">
        <v>29.53</v>
      </c>
      <c r="J31" s="16" t="s">
        <v>48</v>
      </c>
      <c r="K31" s="16"/>
      <c r="L31" s="16"/>
    </row>
    <row r="32" spans="1:12">
      <c r="A32" s="6">
        <v>46245</v>
      </c>
      <c r="B32" s="16" t="str">
        <f t="shared" si="1"/>
        <v>ago/2026</v>
      </c>
      <c r="C32" s="16" t="s">
        <v>44</v>
      </c>
      <c r="D32" s="16" t="s">
        <v>65</v>
      </c>
      <c r="E32" s="16" t="s">
        <v>19</v>
      </c>
      <c r="F32" s="16" t="s">
        <v>59</v>
      </c>
      <c r="G32" s="16" t="s">
        <v>47</v>
      </c>
      <c r="H32" s="7">
        <v>55.18</v>
      </c>
      <c r="I32" s="7">
        <v>55.18</v>
      </c>
      <c r="J32" s="16" t="s">
        <v>48</v>
      </c>
      <c r="K32" s="16"/>
      <c r="L32" s="16"/>
    </row>
    <row r="33" spans="1:12">
      <c r="A33" s="6">
        <v>46245</v>
      </c>
      <c r="B33" s="16" t="str">
        <f t="shared" si="1"/>
        <v>ago/2026</v>
      </c>
      <c r="C33" s="16" t="s">
        <v>44</v>
      </c>
      <c r="D33" s="16" t="s">
        <v>80</v>
      </c>
      <c r="E33" s="16" t="s">
        <v>80</v>
      </c>
      <c r="F33" s="16" t="s">
        <v>59</v>
      </c>
      <c r="G33" s="16" t="s">
        <v>47</v>
      </c>
      <c r="H33" s="7">
        <v>55</v>
      </c>
      <c r="I33" s="7">
        <v>55</v>
      </c>
      <c r="J33" s="16" t="s">
        <v>48</v>
      </c>
      <c r="K33" s="16"/>
      <c r="L33" s="16"/>
    </row>
    <row r="34" spans="1:12">
      <c r="A34" s="6">
        <v>46246</v>
      </c>
      <c r="B34" s="16" t="str">
        <f t="shared" si="1"/>
        <v>ago/2026</v>
      </c>
      <c r="C34" s="16" t="s">
        <v>44</v>
      </c>
      <c r="D34" s="16" t="s">
        <v>81</v>
      </c>
      <c r="E34" s="16" t="s">
        <v>16</v>
      </c>
      <c r="F34" s="16" t="s">
        <v>62</v>
      </c>
      <c r="G34" s="16" t="s">
        <v>47</v>
      </c>
      <c r="H34" s="7">
        <v>45.82</v>
      </c>
      <c r="I34" s="7">
        <v>45.82</v>
      </c>
      <c r="J34" s="16" t="s">
        <v>48</v>
      </c>
      <c r="K34" s="16"/>
      <c r="L34" s="16"/>
    </row>
    <row r="35" spans="1:12">
      <c r="A35" s="6">
        <v>46247</v>
      </c>
      <c r="B35" s="16" t="str">
        <f t="shared" si="1"/>
        <v>ago/2026</v>
      </c>
      <c r="C35" s="16" t="s">
        <v>44</v>
      </c>
      <c r="D35" s="16" t="s">
        <v>81</v>
      </c>
      <c r="E35" s="16" t="s">
        <v>16</v>
      </c>
      <c r="F35" s="16" t="s">
        <v>62</v>
      </c>
      <c r="G35" s="16" t="s">
        <v>47</v>
      </c>
      <c r="H35" s="7">
        <v>24.98</v>
      </c>
      <c r="I35" s="7">
        <v>24.98</v>
      </c>
      <c r="J35" s="16" t="s">
        <v>48</v>
      </c>
      <c r="K35" s="16"/>
      <c r="L35" s="16"/>
    </row>
    <row r="36" spans="1:12">
      <c r="A36" s="6">
        <v>46247</v>
      </c>
      <c r="B36" s="16" t="str">
        <f t="shared" si="1"/>
        <v>ago/2026</v>
      </c>
      <c r="C36" s="16" t="s">
        <v>44</v>
      </c>
      <c r="D36" s="16" t="s">
        <v>82</v>
      </c>
      <c r="E36" s="16" t="s">
        <v>16</v>
      </c>
      <c r="F36" s="16" t="s">
        <v>62</v>
      </c>
      <c r="G36" s="16" t="s">
        <v>47</v>
      </c>
      <c r="H36" s="7">
        <v>36.5</v>
      </c>
      <c r="I36" s="7">
        <v>36.5</v>
      </c>
      <c r="J36" s="16" t="s">
        <v>48</v>
      </c>
      <c r="K36" s="16"/>
      <c r="L36" s="16"/>
    </row>
    <row r="37" spans="1:12">
      <c r="A37" s="6">
        <v>46248</v>
      </c>
      <c r="B37" s="16" t="str">
        <f t="shared" si="1"/>
        <v>ago/2026</v>
      </c>
      <c r="C37" s="16" t="s">
        <v>44</v>
      </c>
      <c r="D37" s="16" t="s">
        <v>70</v>
      </c>
      <c r="E37" s="16" t="s">
        <v>70</v>
      </c>
      <c r="F37" s="16" t="s">
        <v>62</v>
      </c>
      <c r="G37" s="16" t="s">
        <v>47</v>
      </c>
      <c r="H37" s="7">
        <v>55.2</v>
      </c>
      <c r="I37" s="7">
        <v>55.2</v>
      </c>
      <c r="J37" s="16" t="s">
        <v>48</v>
      </c>
      <c r="K37" s="16"/>
      <c r="L37" s="16"/>
    </row>
    <row r="38" spans="1:12">
      <c r="A38" s="6">
        <v>46248</v>
      </c>
      <c r="B38" s="16" t="str">
        <f t="shared" ref="B38:B69" si="2">IF(A38="","",TEXT(A38,"mmm/aaaa"))</f>
        <v>ago/2026</v>
      </c>
      <c r="C38" s="16" t="s">
        <v>44</v>
      </c>
      <c r="D38" s="16" t="s">
        <v>83</v>
      </c>
      <c r="E38" s="16" t="s">
        <v>16</v>
      </c>
      <c r="F38" s="16" t="s">
        <v>59</v>
      </c>
      <c r="G38" s="16" t="s">
        <v>47</v>
      </c>
      <c r="H38" s="7">
        <v>190.74</v>
      </c>
      <c r="I38" s="7">
        <v>190.74</v>
      </c>
      <c r="J38" s="16" t="s">
        <v>48</v>
      </c>
      <c r="K38" s="16"/>
      <c r="L38" s="16"/>
    </row>
    <row r="39" spans="1:12">
      <c r="A39" s="6">
        <v>46248</v>
      </c>
      <c r="B39" s="16" t="str">
        <f t="shared" si="2"/>
        <v>ago/2026</v>
      </c>
      <c r="C39" s="16" t="s">
        <v>49</v>
      </c>
      <c r="D39" s="16" t="s">
        <v>67</v>
      </c>
      <c r="E39" s="16" t="s">
        <v>54</v>
      </c>
      <c r="F39" s="16" t="s">
        <v>46</v>
      </c>
      <c r="G39" s="16" t="s">
        <v>47</v>
      </c>
      <c r="H39" s="7">
        <v>1000</v>
      </c>
      <c r="I39" s="7">
        <v>1000</v>
      </c>
      <c r="J39" s="16" t="s">
        <v>48</v>
      </c>
      <c r="K39" s="16"/>
      <c r="L39" s="16"/>
    </row>
    <row r="40" spans="1:12">
      <c r="A40" s="6">
        <v>46249</v>
      </c>
      <c r="B40" s="16" t="str">
        <f t="shared" si="2"/>
        <v>ago/2026</v>
      </c>
      <c r="C40" s="16" t="s">
        <v>44</v>
      </c>
      <c r="D40" s="16" t="s">
        <v>84</v>
      </c>
      <c r="E40" s="16" t="s">
        <v>20</v>
      </c>
      <c r="F40" s="16" t="s">
        <v>59</v>
      </c>
      <c r="G40" s="16" t="s">
        <v>47</v>
      </c>
      <c r="H40" s="7">
        <v>41.02</v>
      </c>
      <c r="I40" s="7">
        <v>41.02</v>
      </c>
      <c r="J40" s="16" t="s">
        <v>48</v>
      </c>
      <c r="K40" s="16"/>
      <c r="L40" s="16"/>
    </row>
    <row r="41" spans="1:12">
      <c r="A41" s="6">
        <v>46249</v>
      </c>
      <c r="B41" s="16" t="str">
        <f t="shared" si="2"/>
        <v>ago/2026</v>
      </c>
      <c r="C41" s="16" t="s">
        <v>44</v>
      </c>
      <c r="D41" s="16" t="s">
        <v>85</v>
      </c>
      <c r="E41" s="16" t="s">
        <v>20</v>
      </c>
      <c r="F41" s="16" t="s">
        <v>59</v>
      </c>
      <c r="G41" s="16" t="s">
        <v>47</v>
      </c>
      <c r="H41" s="7">
        <v>44.9</v>
      </c>
      <c r="I41" s="7">
        <v>44.9</v>
      </c>
      <c r="J41" s="16" t="s">
        <v>48</v>
      </c>
      <c r="K41" s="16"/>
      <c r="L41" s="16"/>
    </row>
    <row r="42" spans="1:12">
      <c r="A42" s="6">
        <v>46249</v>
      </c>
      <c r="B42" s="16" t="str">
        <f t="shared" si="2"/>
        <v>ago/2026</v>
      </c>
      <c r="C42" s="16" t="s">
        <v>44</v>
      </c>
      <c r="D42" s="16" t="s">
        <v>86</v>
      </c>
      <c r="E42" s="16" t="s">
        <v>16</v>
      </c>
      <c r="F42" s="16" t="s">
        <v>62</v>
      </c>
      <c r="G42" s="16" t="s">
        <v>47</v>
      </c>
      <c r="H42" s="7">
        <v>76.44</v>
      </c>
      <c r="I42" s="7">
        <v>76.44</v>
      </c>
      <c r="J42" s="16" t="s">
        <v>48</v>
      </c>
      <c r="K42" s="16"/>
      <c r="L42" s="16"/>
    </row>
    <row r="43" spans="1:12">
      <c r="A43" s="6">
        <v>46249</v>
      </c>
      <c r="B43" s="16" t="str">
        <f t="shared" si="2"/>
        <v>ago/2026</v>
      </c>
      <c r="C43" s="16" t="s">
        <v>44</v>
      </c>
      <c r="D43" s="16" t="s">
        <v>87</v>
      </c>
      <c r="E43" s="16" t="s">
        <v>61</v>
      </c>
      <c r="F43" s="16" t="s">
        <v>62</v>
      </c>
      <c r="G43" s="16" t="s">
        <v>47</v>
      </c>
      <c r="H43" s="7">
        <v>23.96</v>
      </c>
      <c r="I43" s="7">
        <v>23.96</v>
      </c>
      <c r="J43" s="16" t="s">
        <v>48</v>
      </c>
      <c r="K43" s="16"/>
      <c r="L43" s="16"/>
    </row>
    <row r="44" spans="1:12">
      <c r="A44" s="6">
        <v>46249</v>
      </c>
      <c r="B44" s="16" t="str">
        <f t="shared" si="2"/>
        <v>ago/2026</v>
      </c>
      <c r="C44" s="16" t="s">
        <v>44</v>
      </c>
      <c r="D44" s="16" t="s">
        <v>88</v>
      </c>
      <c r="E44" s="16" t="s">
        <v>61</v>
      </c>
      <c r="F44" s="16" t="s">
        <v>59</v>
      </c>
      <c r="G44" s="16" t="s">
        <v>47</v>
      </c>
      <c r="H44" s="7">
        <v>51.99</v>
      </c>
      <c r="I44" s="7">
        <v>51.99</v>
      </c>
      <c r="J44" s="16" t="s">
        <v>48</v>
      </c>
      <c r="K44" s="16"/>
      <c r="L44" s="16"/>
    </row>
    <row r="45" spans="1:12">
      <c r="A45" s="6">
        <v>46250</v>
      </c>
      <c r="B45" s="16" t="str">
        <f t="shared" si="2"/>
        <v>ago/2026</v>
      </c>
      <c r="C45" s="16" t="s">
        <v>44</v>
      </c>
      <c r="D45" s="16" t="s">
        <v>89</v>
      </c>
      <c r="E45" s="16" t="s">
        <v>68</v>
      </c>
      <c r="F45" s="16" t="s">
        <v>62</v>
      </c>
      <c r="G45" s="16" t="s">
        <v>47</v>
      </c>
      <c r="H45" s="7">
        <v>50.92</v>
      </c>
      <c r="I45" s="7">
        <v>50.92</v>
      </c>
      <c r="J45" s="16" t="s">
        <v>48</v>
      </c>
      <c r="K45" s="16"/>
      <c r="L45" s="16"/>
    </row>
    <row r="46" spans="1:12">
      <c r="A46" s="6">
        <v>46250</v>
      </c>
      <c r="B46" s="16" t="str">
        <f t="shared" si="2"/>
        <v>ago/2026</v>
      </c>
      <c r="C46" s="16" t="s">
        <v>44</v>
      </c>
      <c r="D46" s="16" t="s">
        <v>90</v>
      </c>
      <c r="E46" s="16" t="s">
        <v>91</v>
      </c>
      <c r="F46" s="16" t="s">
        <v>59</v>
      </c>
      <c r="G46" s="16" t="s">
        <v>47</v>
      </c>
      <c r="H46" s="7">
        <v>230</v>
      </c>
      <c r="I46" s="7">
        <v>230</v>
      </c>
      <c r="J46" s="16" t="s">
        <v>48</v>
      </c>
      <c r="K46" s="16"/>
      <c r="L46" s="16"/>
    </row>
    <row r="47" spans="1:12">
      <c r="A47" s="6">
        <v>46242</v>
      </c>
      <c r="B47" s="16" t="str">
        <f t="shared" si="2"/>
        <v>ago/2026</v>
      </c>
      <c r="C47" s="16" t="s">
        <v>44</v>
      </c>
      <c r="D47" s="16" t="s">
        <v>92</v>
      </c>
      <c r="E47" s="16" t="s">
        <v>16</v>
      </c>
      <c r="F47" s="16" t="s">
        <v>62</v>
      </c>
      <c r="G47" s="16" t="s">
        <v>47</v>
      </c>
      <c r="H47" s="7">
        <v>75.099999999999994</v>
      </c>
      <c r="I47" s="7">
        <v>75.099999999999994</v>
      </c>
      <c r="J47" s="16" t="s">
        <v>48</v>
      </c>
      <c r="K47" s="16"/>
      <c r="L47" s="16"/>
    </row>
    <row r="48" spans="1:12">
      <c r="A48" s="6">
        <v>46242</v>
      </c>
      <c r="B48" s="16" t="str">
        <f t="shared" si="2"/>
        <v>ago/2026</v>
      </c>
      <c r="C48" s="16" t="s">
        <v>44</v>
      </c>
      <c r="D48" s="16" t="s">
        <v>90</v>
      </c>
      <c r="E48" s="16" t="s">
        <v>91</v>
      </c>
      <c r="F48" s="16" t="s">
        <v>59</v>
      </c>
      <c r="G48" s="16" t="s">
        <v>47</v>
      </c>
      <c r="H48" s="7">
        <v>200</v>
      </c>
      <c r="I48" s="7">
        <v>200</v>
      </c>
      <c r="J48" s="16" t="s">
        <v>48</v>
      </c>
      <c r="K48" s="16"/>
      <c r="L48" s="16"/>
    </row>
    <row r="49" spans="1:12">
      <c r="A49" s="6">
        <v>46242</v>
      </c>
      <c r="B49" s="16" t="str">
        <f t="shared" si="2"/>
        <v>ago/2026</v>
      </c>
      <c r="C49" s="16" t="s">
        <v>49</v>
      </c>
      <c r="D49" s="16" t="s">
        <v>67</v>
      </c>
      <c r="E49" s="16" t="s">
        <v>54</v>
      </c>
      <c r="F49" s="16" t="s">
        <v>46</v>
      </c>
      <c r="G49" s="16" t="s">
        <v>47</v>
      </c>
      <c r="H49" s="7">
        <v>1000</v>
      </c>
      <c r="I49" s="7">
        <v>1000</v>
      </c>
      <c r="J49" s="16" t="s">
        <v>48</v>
      </c>
      <c r="K49" s="16"/>
      <c r="L49" s="16"/>
    </row>
    <row r="50" spans="1:12">
      <c r="A50" s="6">
        <v>46242</v>
      </c>
      <c r="B50" s="16" t="str">
        <f t="shared" si="2"/>
        <v>ago/2026</v>
      </c>
      <c r="C50" s="16" t="s">
        <v>44</v>
      </c>
      <c r="D50" s="16" t="s">
        <v>93</v>
      </c>
      <c r="E50" s="16" t="s">
        <v>18</v>
      </c>
      <c r="F50" s="16" t="s">
        <v>62</v>
      </c>
      <c r="G50" s="16" t="s">
        <v>47</v>
      </c>
      <c r="H50" s="7">
        <v>130</v>
      </c>
      <c r="I50" s="7">
        <v>130</v>
      </c>
      <c r="J50" s="16" t="s">
        <v>48</v>
      </c>
      <c r="K50" s="16"/>
      <c r="L50" s="16"/>
    </row>
    <row r="51" spans="1:12">
      <c r="A51" s="6">
        <v>46244</v>
      </c>
      <c r="B51" s="16" t="str">
        <f t="shared" si="2"/>
        <v>ago/2026</v>
      </c>
      <c r="C51" s="16" t="s">
        <v>44</v>
      </c>
      <c r="D51" s="16" t="s">
        <v>90</v>
      </c>
      <c r="E51" s="16" t="s">
        <v>91</v>
      </c>
      <c r="F51" s="16" t="s">
        <v>59</v>
      </c>
      <c r="G51" s="16" t="s">
        <v>47</v>
      </c>
      <c r="H51" s="7">
        <v>400</v>
      </c>
      <c r="I51" s="7">
        <v>400</v>
      </c>
      <c r="J51" s="16" t="s">
        <v>48</v>
      </c>
      <c r="K51" s="16"/>
      <c r="L51" s="16"/>
    </row>
    <row r="52" spans="1:12">
      <c r="A52" s="6">
        <v>46244</v>
      </c>
      <c r="B52" s="16" t="str">
        <f t="shared" si="2"/>
        <v>ago/2026</v>
      </c>
      <c r="C52" s="16" t="s">
        <v>44</v>
      </c>
      <c r="D52" s="16" t="s">
        <v>94</v>
      </c>
      <c r="E52" s="16" t="s">
        <v>24</v>
      </c>
      <c r="F52" s="16" t="s">
        <v>77</v>
      </c>
      <c r="G52" s="16" t="s">
        <v>47</v>
      </c>
      <c r="H52" s="7">
        <v>1683.05</v>
      </c>
      <c r="I52" s="7">
        <v>1683.05</v>
      </c>
      <c r="J52" s="16" t="s">
        <v>48</v>
      </c>
      <c r="K52" s="16"/>
      <c r="L52" s="16"/>
    </row>
    <row r="53" spans="1:12">
      <c r="A53" s="6">
        <v>46251</v>
      </c>
      <c r="B53" s="16" t="str">
        <f t="shared" si="2"/>
        <v>ago/2026</v>
      </c>
      <c r="C53" s="16" t="s">
        <v>44</v>
      </c>
      <c r="D53" s="16" t="s">
        <v>95</v>
      </c>
      <c r="E53" s="16" t="s">
        <v>96</v>
      </c>
      <c r="F53" s="16" t="s">
        <v>66</v>
      </c>
      <c r="G53" s="16" t="s">
        <v>47</v>
      </c>
      <c r="H53" s="7">
        <v>720.21</v>
      </c>
      <c r="I53" s="7">
        <v>720.21</v>
      </c>
      <c r="J53" s="16" t="s">
        <v>48</v>
      </c>
      <c r="K53" s="16"/>
      <c r="L53" s="16"/>
    </row>
    <row r="54" spans="1:12">
      <c r="A54" s="6">
        <v>46252</v>
      </c>
      <c r="B54" s="16" t="str">
        <f t="shared" si="2"/>
        <v>ago/2026</v>
      </c>
      <c r="C54" s="16" t="s">
        <v>44</v>
      </c>
      <c r="D54" s="16" t="s">
        <v>81</v>
      </c>
      <c r="E54" s="16" t="s">
        <v>16</v>
      </c>
      <c r="F54" s="16" t="s">
        <v>59</v>
      </c>
      <c r="G54" s="16" t="s">
        <v>47</v>
      </c>
      <c r="H54" s="7">
        <v>67</v>
      </c>
      <c r="I54" s="7">
        <v>67</v>
      </c>
      <c r="J54" s="16" t="s">
        <v>48</v>
      </c>
      <c r="K54" s="16"/>
      <c r="L54" s="16"/>
    </row>
    <row r="55" spans="1:12">
      <c r="A55" s="6">
        <v>46253</v>
      </c>
      <c r="B55" s="16" t="str">
        <f t="shared" si="2"/>
        <v>ago/2026</v>
      </c>
      <c r="C55" s="16" t="s">
        <v>49</v>
      </c>
      <c r="D55" s="16" t="s">
        <v>97</v>
      </c>
      <c r="E55" s="16" t="s">
        <v>51</v>
      </c>
      <c r="F55" s="16" t="s">
        <v>59</v>
      </c>
      <c r="G55" s="16" t="s">
        <v>47</v>
      </c>
      <c r="H55" s="7">
        <v>1416.66</v>
      </c>
      <c r="I55" s="7">
        <v>1416.66</v>
      </c>
      <c r="J55" s="16" t="s">
        <v>48</v>
      </c>
      <c r="K55" s="16"/>
      <c r="L55" s="16"/>
    </row>
    <row r="56" spans="1:12">
      <c r="A56" s="6">
        <v>46254</v>
      </c>
      <c r="B56" s="16" t="str">
        <f t="shared" si="2"/>
        <v>ago/2026</v>
      </c>
      <c r="C56" s="16" t="s">
        <v>44</v>
      </c>
      <c r="D56" s="16" t="s">
        <v>70</v>
      </c>
      <c r="E56" s="16" t="s">
        <v>70</v>
      </c>
      <c r="F56" s="16" t="s">
        <v>62</v>
      </c>
      <c r="G56" s="16" t="s">
        <v>47</v>
      </c>
      <c r="H56" s="7">
        <v>40</v>
      </c>
      <c r="I56" s="7">
        <v>40</v>
      </c>
      <c r="J56" s="16" t="s">
        <v>48</v>
      </c>
      <c r="K56" s="16"/>
      <c r="L56" s="16"/>
    </row>
    <row r="57" spans="1:12">
      <c r="A57" s="6">
        <v>46254</v>
      </c>
      <c r="B57" s="16" t="str">
        <f t="shared" si="2"/>
        <v>ago/2026</v>
      </c>
      <c r="C57" s="16" t="s">
        <v>44</v>
      </c>
      <c r="D57" s="16" t="s">
        <v>90</v>
      </c>
      <c r="E57" s="16" t="s">
        <v>91</v>
      </c>
      <c r="F57" s="16" t="s">
        <v>59</v>
      </c>
      <c r="G57" s="16" t="s">
        <v>47</v>
      </c>
      <c r="H57" s="7">
        <v>300</v>
      </c>
      <c r="I57" s="7">
        <v>300</v>
      </c>
      <c r="J57" s="16" t="s">
        <v>48</v>
      </c>
      <c r="K57" s="16"/>
      <c r="L57" s="16"/>
    </row>
    <row r="58" spans="1:12">
      <c r="A58" s="6"/>
      <c r="B58" s="16" t="str">
        <f t="shared" si="2"/>
        <v/>
      </c>
      <c r="C58" s="16"/>
      <c r="D58" s="16"/>
      <c r="E58" s="16"/>
      <c r="F58" s="16"/>
      <c r="G58" s="16"/>
      <c r="H58" s="7"/>
      <c r="I58" s="7"/>
      <c r="J58" s="16"/>
      <c r="K58" s="16"/>
      <c r="L58" s="16"/>
    </row>
    <row r="59" spans="1:12">
      <c r="A59" s="6"/>
      <c r="B59" s="16" t="str">
        <f t="shared" si="2"/>
        <v/>
      </c>
      <c r="C59" s="16"/>
      <c r="D59" s="16"/>
      <c r="E59" s="16"/>
      <c r="F59" s="16"/>
      <c r="G59" s="16"/>
      <c r="H59" s="7"/>
      <c r="I59" s="7"/>
      <c r="J59" s="16"/>
      <c r="K59" s="16"/>
      <c r="L59" s="16"/>
    </row>
    <row r="60" spans="1:12">
      <c r="A60" s="6"/>
      <c r="B60" s="16" t="str">
        <f t="shared" si="2"/>
        <v/>
      </c>
      <c r="C60" s="16"/>
      <c r="D60" s="16"/>
      <c r="E60" s="16"/>
      <c r="F60" s="16"/>
      <c r="G60" s="16"/>
      <c r="H60" s="7"/>
      <c r="I60" s="7"/>
      <c r="J60" s="16"/>
      <c r="K60" s="16"/>
      <c r="L60" s="16"/>
    </row>
    <row r="61" spans="1:12">
      <c r="A61" s="6"/>
      <c r="B61" s="16" t="str">
        <f t="shared" si="2"/>
        <v/>
      </c>
      <c r="C61" s="16"/>
      <c r="D61" s="16"/>
      <c r="E61" s="16"/>
      <c r="F61" s="16"/>
      <c r="G61" s="16"/>
      <c r="H61" s="7"/>
      <c r="I61" s="7"/>
      <c r="J61" s="16"/>
      <c r="K61" s="16"/>
      <c r="L61" s="16"/>
    </row>
    <row r="62" spans="1:12">
      <c r="A62" s="6"/>
      <c r="B62" s="16" t="str">
        <f t="shared" si="2"/>
        <v/>
      </c>
      <c r="C62" s="16"/>
      <c r="D62" s="16"/>
      <c r="E62" s="16"/>
      <c r="F62" s="16"/>
      <c r="G62" s="16"/>
      <c r="H62" s="7"/>
      <c r="I62" s="7"/>
      <c r="J62" s="16"/>
      <c r="K62" s="16"/>
      <c r="L62" s="16"/>
    </row>
    <row r="63" spans="1:12">
      <c r="A63" s="6"/>
      <c r="B63" s="16" t="str">
        <f t="shared" si="2"/>
        <v/>
      </c>
      <c r="C63" s="16"/>
      <c r="D63" s="16"/>
      <c r="E63" s="16"/>
      <c r="F63" s="16"/>
      <c r="G63" s="16"/>
      <c r="H63" s="7"/>
      <c r="I63" s="7"/>
      <c r="J63" s="16"/>
      <c r="K63" s="16"/>
      <c r="L63" s="16"/>
    </row>
    <row r="64" spans="1:12">
      <c r="A64" s="6"/>
      <c r="B64" s="16" t="str">
        <f t="shared" si="2"/>
        <v/>
      </c>
      <c r="C64" s="16"/>
      <c r="D64" s="16"/>
      <c r="E64" s="16"/>
      <c r="F64" s="16"/>
      <c r="G64" s="16"/>
      <c r="H64" s="7"/>
      <c r="I64" s="7"/>
      <c r="J64" s="16"/>
      <c r="K64" s="16"/>
      <c r="L64" s="16"/>
    </row>
    <row r="65" spans="1:12">
      <c r="A65" s="6"/>
      <c r="B65" s="16" t="str">
        <f t="shared" si="2"/>
        <v/>
      </c>
      <c r="C65" s="16"/>
      <c r="D65" s="16"/>
      <c r="E65" s="16"/>
      <c r="F65" s="16"/>
      <c r="G65" s="16"/>
      <c r="H65" s="7"/>
      <c r="I65" s="7"/>
      <c r="J65" s="16"/>
      <c r="K65" s="16"/>
      <c r="L65" s="16"/>
    </row>
    <row r="66" spans="1:12">
      <c r="A66" s="6"/>
      <c r="B66" s="16" t="str">
        <f t="shared" si="2"/>
        <v/>
      </c>
      <c r="C66" s="16"/>
      <c r="D66" s="16"/>
      <c r="E66" s="16"/>
      <c r="F66" s="16"/>
      <c r="G66" s="16"/>
      <c r="H66" s="7"/>
      <c r="I66" s="7"/>
      <c r="J66" s="16"/>
      <c r="K66" s="16"/>
      <c r="L66" s="16"/>
    </row>
    <row r="67" spans="1:12">
      <c r="A67" s="6"/>
      <c r="B67" s="16" t="str">
        <f t="shared" si="2"/>
        <v/>
      </c>
      <c r="C67" s="16"/>
      <c r="D67" s="16"/>
      <c r="E67" s="16"/>
      <c r="F67" s="16"/>
      <c r="G67" s="16"/>
      <c r="H67" s="7"/>
      <c r="I67" s="7"/>
      <c r="J67" s="16"/>
      <c r="K67" s="16"/>
      <c r="L67" s="16"/>
    </row>
    <row r="68" spans="1:12">
      <c r="A68" s="6"/>
      <c r="B68" s="16" t="str">
        <f t="shared" si="2"/>
        <v/>
      </c>
      <c r="C68" s="16"/>
      <c r="D68" s="16"/>
      <c r="E68" s="16"/>
      <c r="F68" s="16"/>
      <c r="G68" s="16"/>
      <c r="H68" s="7"/>
      <c r="I68" s="7"/>
      <c r="J68" s="16"/>
      <c r="K68" s="16"/>
      <c r="L68" s="16"/>
    </row>
    <row r="69" spans="1:12">
      <c r="A69" s="6"/>
      <c r="B69" s="16" t="str">
        <f t="shared" si="2"/>
        <v/>
      </c>
      <c r="C69" s="16"/>
      <c r="D69" s="16"/>
      <c r="E69" s="16"/>
      <c r="F69" s="16"/>
      <c r="G69" s="16"/>
      <c r="H69" s="7"/>
      <c r="I69" s="7"/>
      <c r="J69" s="16"/>
      <c r="K69" s="16"/>
      <c r="L69" s="16"/>
    </row>
    <row r="70" spans="1:12">
      <c r="A70" s="6"/>
      <c r="B70" s="16" t="str">
        <f t="shared" ref="B70:B101" si="3">IF(A70="","",TEXT(A70,"mmm/aaaa"))</f>
        <v/>
      </c>
      <c r="C70" s="16"/>
      <c r="D70" s="16"/>
      <c r="E70" s="16"/>
      <c r="F70" s="16"/>
      <c r="G70" s="16"/>
      <c r="H70" s="7"/>
      <c r="I70" s="7"/>
      <c r="J70" s="16"/>
      <c r="K70" s="16"/>
      <c r="L70" s="16"/>
    </row>
    <row r="71" spans="1:12">
      <c r="A71" s="6"/>
      <c r="B71" s="16" t="str">
        <f t="shared" si="3"/>
        <v/>
      </c>
      <c r="C71" s="16"/>
      <c r="D71" s="16"/>
      <c r="E71" s="16"/>
      <c r="F71" s="16"/>
      <c r="G71" s="16"/>
      <c r="H71" s="7"/>
      <c r="I71" s="7"/>
      <c r="J71" s="16"/>
      <c r="K71" s="16"/>
      <c r="L71" s="16"/>
    </row>
    <row r="72" spans="1:12">
      <c r="A72" s="6"/>
      <c r="B72" s="16" t="str">
        <f t="shared" si="3"/>
        <v/>
      </c>
      <c r="C72" s="16"/>
      <c r="D72" s="16"/>
      <c r="E72" s="16"/>
      <c r="F72" s="16"/>
      <c r="G72" s="16"/>
      <c r="H72" s="7"/>
      <c r="I72" s="7"/>
      <c r="J72" s="16"/>
      <c r="K72" s="16"/>
      <c r="L72" s="16"/>
    </row>
    <row r="73" spans="1:12">
      <c r="A73" s="6"/>
      <c r="B73" s="16" t="str">
        <f t="shared" si="3"/>
        <v/>
      </c>
      <c r="C73" s="16"/>
      <c r="D73" s="16"/>
      <c r="E73" s="16"/>
      <c r="F73" s="16"/>
      <c r="G73" s="16"/>
      <c r="H73" s="7"/>
      <c r="I73" s="7"/>
      <c r="J73" s="16"/>
      <c r="K73" s="16"/>
      <c r="L73" s="16"/>
    </row>
    <row r="74" spans="1:12">
      <c r="A74" s="6"/>
      <c r="B74" s="16" t="str">
        <f t="shared" si="3"/>
        <v/>
      </c>
      <c r="C74" s="16"/>
      <c r="D74" s="16"/>
      <c r="E74" s="16"/>
      <c r="F74" s="16"/>
      <c r="G74" s="16"/>
      <c r="H74" s="7"/>
      <c r="I74" s="7"/>
      <c r="J74" s="16"/>
      <c r="K74" s="16"/>
      <c r="L74" s="16"/>
    </row>
    <row r="75" spans="1:12">
      <c r="A75" s="6"/>
      <c r="B75" s="16" t="str">
        <f t="shared" si="3"/>
        <v/>
      </c>
      <c r="C75" s="16"/>
      <c r="D75" s="16"/>
      <c r="E75" s="16"/>
      <c r="F75" s="16"/>
      <c r="G75" s="16"/>
      <c r="H75" s="7"/>
      <c r="I75" s="7"/>
      <c r="J75" s="16"/>
      <c r="K75" s="16"/>
      <c r="L75" s="16"/>
    </row>
    <row r="76" spans="1:12">
      <c r="A76" s="6"/>
      <c r="B76" s="16" t="str">
        <f t="shared" si="3"/>
        <v/>
      </c>
      <c r="C76" s="16"/>
      <c r="D76" s="16"/>
      <c r="E76" s="16"/>
      <c r="F76" s="16"/>
      <c r="G76" s="16"/>
      <c r="H76" s="7"/>
      <c r="I76" s="7"/>
      <c r="J76" s="16"/>
      <c r="K76" s="16"/>
      <c r="L76" s="16"/>
    </row>
    <row r="77" spans="1:12">
      <c r="A77" s="6"/>
      <c r="B77" s="16" t="str">
        <f t="shared" si="3"/>
        <v/>
      </c>
      <c r="C77" s="16"/>
      <c r="D77" s="16"/>
      <c r="E77" s="16"/>
      <c r="F77" s="16"/>
      <c r="G77" s="16"/>
      <c r="H77" s="7"/>
      <c r="I77" s="7"/>
      <c r="J77" s="16"/>
      <c r="K77" s="16"/>
      <c r="L77" s="16"/>
    </row>
    <row r="78" spans="1:12">
      <c r="A78" s="6"/>
      <c r="B78" s="16" t="str">
        <f t="shared" si="3"/>
        <v/>
      </c>
      <c r="C78" s="16"/>
      <c r="D78" s="16"/>
      <c r="E78" s="16"/>
      <c r="F78" s="16"/>
      <c r="G78" s="16"/>
      <c r="H78" s="7"/>
      <c r="I78" s="7"/>
      <c r="J78" s="16"/>
      <c r="K78" s="16"/>
      <c r="L78" s="16"/>
    </row>
    <row r="79" spans="1:12">
      <c r="A79" s="6"/>
      <c r="B79" s="16" t="str">
        <f t="shared" si="3"/>
        <v/>
      </c>
      <c r="C79" s="16"/>
      <c r="D79" s="16"/>
      <c r="E79" s="16"/>
      <c r="F79" s="16"/>
      <c r="G79" s="16"/>
      <c r="H79" s="7"/>
      <c r="I79" s="7"/>
      <c r="J79" s="16"/>
      <c r="K79" s="16"/>
      <c r="L79" s="16"/>
    </row>
    <row r="80" spans="1:12">
      <c r="A80" s="6"/>
      <c r="B80" s="16" t="str">
        <f t="shared" si="3"/>
        <v/>
      </c>
      <c r="C80" s="16"/>
      <c r="D80" s="16"/>
      <c r="E80" s="16"/>
      <c r="F80" s="16"/>
      <c r="G80" s="16"/>
      <c r="H80" s="7"/>
      <c r="I80" s="7"/>
      <c r="J80" s="16"/>
      <c r="K80" s="16"/>
      <c r="L80" s="16"/>
    </row>
    <row r="81" spans="1:12">
      <c r="A81" s="6"/>
      <c r="B81" s="16" t="str">
        <f t="shared" si="3"/>
        <v/>
      </c>
      <c r="C81" s="16"/>
      <c r="D81" s="16"/>
      <c r="E81" s="16"/>
      <c r="F81" s="16"/>
      <c r="G81" s="16"/>
      <c r="H81" s="7"/>
      <c r="I81" s="7"/>
      <c r="J81" s="16"/>
      <c r="K81" s="16"/>
      <c r="L81" s="16"/>
    </row>
    <row r="82" spans="1:12">
      <c r="A82" s="6"/>
      <c r="B82" s="16" t="str">
        <f t="shared" si="3"/>
        <v/>
      </c>
      <c r="C82" s="16"/>
      <c r="D82" s="16"/>
      <c r="E82" s="16"/>
      <c r="F82" s="16"/>
      <c r="G82" s="16"/>
      <c r="H82" s="7"/>
      <c r="I82" s="7"/>
      <c r="J82" s="16"/>
      <c r="K82" s="16"/>
      <c r="L82" s="16"/>
    </row>
    <row r="83" spans="1:12">
      <c r="A83" s="6"/>
      <c r="B83" s="16" t="str">
        <f t="shared" si="3"/>
        <v/>
      </c>
      <c r="C83" s="16"/>
      <c r="D83" s="16"/>
      <c r="E83" s="16"/>
      <c r="F83" s="16"/>
      <c r="G83" s="16"/>
      <c r="H83" s="7"/>
      <c r="I83" s="7"/>
      <c r="J83" s="16"/>
      <c r="K83" s="16"/>
      <c r="L83" s="16"/>
    </row>
    <row r="84" spans="1:12">
      <c r="A84" s="6"/>
      <c r="B84" s="16" t="str">
        <f t="shared" si="3"/>
        <v/>
      </c>
      <c r="C84" s="16"/>
      <c r="D84" s="16"/>
      <c r="E84" s="16"/>
      <c r="F84" s="16"/>
      <c r="G84" s="16"/>
      <c r="H84" s="7"/>
      <c r="I84" s="7"/>
      <c r="J84" s="16"/>
      <c r="K84" s="16"/>
      <c r="L84" s="16"/>
    </row>
    <row r="85" spans="1:12">
      <c r="A85" s="6"/>
      <c r="B85" s="16" t="str">
        <f t="shared" si="3"/>
        <v/>
      </c>
      <c r="C85" s="16"/>
      <c r="D85" s="16"/>
      <c r="E85" s="16"/>
      <c r="F85" s="16"/>
      <c r="G85" s="16"/>
      <c r="H85" s="7"/>
      <c r="I85" s="7"/>
      <c r="J85" s="16"/>
      <c r="K85" s="16"/>
      <c r="L85" s="16"/>
    </row>
    <row r="86" spans="1:12">
      <c r="A86" s="6"/>
      <c r="B86" s="16" t="str">
        <f t="shared" si="3"/>
        <v/>
      </c>
      <c r="C86" s="16"/>
      <c r="D86" s="16"/>
      <c r="E86" s="16"/>
      <c r="F86" s="16"/>
      <c r="G86" s="16"/>
      <c r="H86" s="7"/>
      <c r="I86" s="7"/>
      <c r="J86" s="16"/>
      <c r="K86" s="16"/>
      <c r="L86" s="16"/>
    </row>
    <row r="87" spans="1:12">
      <c r="A87" s="6"/>
      <c r="B87" s="16" t="str">
        <f t="shared" si="3"/>
        <v/>
      </c>
      <c r="C87" s="16"/>
      <c r="D87" s="16"/>
      <c r="E87" s="16"/>
      <c r="F87" s="16"/>
      <c r="G87" s="16"/>
      <c r="H87" s="7"/>
      <c r="I87" s="7"/>
      <c r="J87" s="16"/>
      <c r="K87" s="16"/>
      <c r="L87" s="16"/>
    </row>
    <row r="88" spans="1:12">
      <c r="A88" s="6"/>
      <c r="B88" s="16" t="str">
        <f t="shared" si="3"/>
        <v/>
      </c>
      <c r="C88" s="16"/>
      <c r="D88" s="16"/>
      <c r="E88" s="16"/>
      <c r="F88" s="16"/>
      <c r="G88" s="16"/>
      <c r="H88" s="7"/>
      <c r="I88" s="7"/>
      <c r="J88" s="16"/>
      <c r="K88" s="16"/>
      <c r="L88" s="16"/>
    </row>
    <row r="89" spans="1:12">
      <c r="A89" s="6"/>
      <c r="B89" s="16" t="str">
        <f t="shared" si="3"/>
        <v/>
      </c>
      <c r="C89" s="16"/>
      <c r="D89" s="16"/>
      <c r="E89" s="16"/>
      <c r="F89" s="16"/>
      <c r="G89" s="16"/>
      <c r="H89" s="7"/>
      <c r="I89" s="7"/>
      <c r="J89" s="16"/>
      <c r="K89" s="16"/>
      <c r="L89" s="16"/>
    </row>
    <row r="90" spans="1:12">
      <c r="A90" s="6"/>
      <c r="B90" s="16" t="str">
        <f t="shared" si="3"/>
        <v/>
      </c>
      <c r="C90" s="16"/>
      <c r="D90" s="16"/>
      <c r="E90" s="16"/>
      <c r="F90" s="16"/>
      <c r="G90" s="16"/>
      <c r="H90" s="7"/>
      <c r="I90" s="7"/>
      <c r="J90" s="16"/>
      <c r="K90" s="16"/>
      <c r="L90" s="16"/>
    </row>
    <row r="91" spans="1:12">
      <c r="A91" s="6"/>
      <c r="B91" s="16" t="str">
        <f t="shared" si="3"/>
        <v/>
      </c>
      <c r="C91" s="16"/>
      <c r="D91" s="16"/>
      <c r="E91" s="16"/>
      <c r="F91" s="16"/>
      <c r="G91" s="16"/>
      <c r="H91" s="7"/>
      <c r="I91" s="7"/>
      <c r="J91" s="16"/>
      <c r="K91" s="16"/>
      <c r="L91" s="16"/>
    </row>
    <row r="92" spans="1:12">
      <c r="A92" s="6"/>
      <c r="B92" s="16" t="str">
        <f t="shared" si="3"/>
        <v/>
      </c>
      <c r="C92" s="16"/>
      <c r="D92" s="16"/>
      <c r="E92" s="16"/>
      <c r="F92" s="16"/>
      <c r="G92" s="16"/>
      <c r="H92" s="7"/>
      <c r="I92" s="7"/>
      <c r="J92" s="16"/>
      <c r="K92" s="16"/>
      <c r="L92" s="16"/>
    </row>
    <row r="93" spans="1:12">
      <c r="A93" s="6"/>
      <c r="B93" s="16" t="str">
        <f t="shared" si="3"/>
        <v/>
      </c>
      <c r="C93" s="16"/>
      <c r="D93" s="16"/>
      <c r="E93" s="16"/>
      <c r="F93" s="16"/>
      <c r="G93" s="16"/>
      <c r="H93" s="7"/>
      <c r="I93" s="7"/>
      <c r="J93" s="16"/>
      <c r="K93" s="16"/>
      <c r="L93" s="16"/>
    </row>
    <row r="94" spans="1:12">
      <c r="A94" s="6"/>
      <c r="B94" s="16" t="str">
        <f t="shared" si="3"/>
        <v/>
      </c>
      <c r="C94" s="16"/>
      <c r="D94" s="16"/>
      <c r="E94" s="16"/>
      <c r="F94" s="16"/>
      <c r="G94" s="16"/>
      <c r="H94" s="7"/>
      <c r="I94" s="7"/>
      <c r="J94" s="16"/>
      <c r="K94" s="16"/>
      <c r="L94" s="16"/>
    </row>
    <row r="95" spans="1:12">
      <c r="A95" s="6"/>
      <c r="B95" s="16" t="str">
        <f t="shared" si="3"/>
        <v/>
      </c>
      <c r="C95" s="16"/>
      <c r="D95" s="16"/>
      <c r="E95" s="16"/>
      <c r="F95" s="16"/>
      <c r="G95" s="16"/>
      <c r="H95" s="7"/>
      <c r="I95" s="7"/>
      <c r="J95" s="16"/>
      <c r="K95" s="16"/>
      <c r="L95" s="16"/>
    </row>
    <row r="96" spans="1:12">
      <c r="A96" s="6"/>
      <c r="B96" s="16" t="str">
        <f t="shared" si="3"/>
        <v/>
      </c>
      <c r="C96" s="16"/>
      <c r="D96" s="16"/>
      <c r="E96" s="16"/>
      <c r="F96" s="16"/>
      <c r="G96" s="16"/>
      <c r="H96" s="7"/>
      <c r="I96" s="7"/>
      <c r="J96" s="16"/>
      <c r="K96" s="16"/>
      <c r="L96" s="16"/>
    </row>
    <row r="97" spans="1:12">
      <c r="A97" s="6"/>
      <c r="B97" s="16" t="str">
        <f t="shared" si="3"/>
        <v/>
      </c>
      <c r="C97" s="16"/>
      <c r="D97" s="16"/>
      <c r="E97" s="16"/>
      <c r="F97" s="16"/>
      <c r="G97" s="16"/>
      <c r="H97" s="7"/>
      <c r="I97" s="7"/>
      <c r="J97" s="16"/>
      <c r="K97" s="16"/>
      <c r="L97" s="16"/>
    </row>
    <row r="98" spans="1:12">
      <c r="A98" s="6"/>
      <c r="B98" s="16" t="str">
        <f t="shared" si="3"/>
        <v/>
      </c>
      <c r="C98" s="16"/>
      <c r="D98" s="16"/>
      <c r="E98" s="16"/>
      <c r="F98" s="16"/>
      <c r="G98" s="16"/>
      <c r="H98" s="7"/>
      <c r="I98" s="7"/>
      <c r="J98" s="16"/>
      <c r="K98" s="16"/>
      <c r="L98" s="16"/>
    </row>
    <row r="99" spans="1:12">
      <c r="A99" s="6"/>
      <c r="B99" s="16" t="str">
        <f t="shared" si="3"/>
        <v/>
      </c>
      <c r="C99" s="16"/>
      <c r="D99" s="16"/>
      <c r="E99" s="16"/>
      <c r="F99" s="16"/>
      <c r="G99" s="16"/>
      <c r="H99" s="7"/>
      <c r="I99" s="7"/>
      <c r="J99" s="16"/>
      <c r="K99" s="16"/>
      <c r="L99" s="16"/>
    </row>
    <row r="100" spans="1:12">
      <c r="A100" s="6"/>
      <c r="B100" s="16" t="str">
        <f t="shared" si="3"/>
        <v/>
      </c>
      <c r="C100" s="16"/>
      <c r="D100" s="16"/>
      <c r="E100" s="16"/>
      <c r="F100" s="16"/>
      <c r="G100" s="16"/>
      <c r="H100" s="7"/>
      <c r="I100" s="7"/>
      <c r="J100" s="16"/>
      <c r="K100" s="16"/>
      <c r="L100" s="16"/>
    </row>
    <row r="101" spans="1:12">
      <c r="A101" s="6"/>
      <c r="B101" s="16" t="str">
        <f t="shared" si="3"/>
        <v/>
      </c>
      <c r="C101" s="16"/>
      <c r="D101" s="16"/>
      <c r="E101" s="16"/>
      <c r="F101" s="16"/>
      <c r="G101" s="16"/>
      <c r="H101" s="7"/>
      <c r="I101" s="7"/>
      <c r="J101" s="16"/>
      <c r="K101" s="16"/>
      <c r="L101" s="16"/>
    </row>
    <row r="102" spans="1:12">
      <c r="A102" s="6"/>
      <c r="B102" s="16" t="str">
        <f t="shared" ref="B102:B133" si="4">IF(A102="","",TEXT(A102,"mmm/aaaa"))</f>
        <v/>
      </c>
      <c r="C102" s="16"/>
      <c r="D102" s="16"/>
      <c r="E102" s="16"/>
      <c r="F102" s="16"/>
      <c r="G102" s="16"/>
      <c r="H102" s="7"/>
      <c r="I102" s="7"/>
      <c r="J102" s="16"/>
      <c r="K102" s="16"/>
      <c r="L102" s="16"/>
    </row>
    <row r="103" spans="1:12">
      <c r="A103" s="6"/>
      <c r="B103" s="16" t="str">
        <f t="shared" si="4"/>
        <v/>
      </c>
      <c r="C103" s="16"/>
      <c r="D103" s="16"/>
      <c r="E103" s="16"/>
      <c r="F103" s="16"/>
      <c r="G103" s="16"/>
      <c r="H103" s="7"/>
      <c r="I103" s="7"/>
      <c r="J103" s="16"/>
      <c r="K103" s="16"/>
      <c r="L103" s="16"/>
    </row>
    <row r="104" spans="1:12">
      <c r="A104" s="6"/>
      <c r="B104" s="16" t="str">
        <f t="shared" si="4"/>
        <v/>
      </c>
      <c r="C104" s="16"/>
      <c r="D104" s="16"/>
      <c r="E104" s="16"/>
      <c r="F104" s="16"/>
      <c r="G104" s="16"/>
      <c r="H104" s="7"/>
      <c r="I104" s="7"/>
      <c r="J104" s="16"/>
      <c r="K104" s="16"/>
      <c r="L104" s="16"/>
    </row>
    <row r="105" spans="1:12">
      <c r="A105" s="6"/>
      <c r="B105" s="16" t="str">
        <f t="shared" si="4"/>
        <v/>
      </c>
      <c r="C105" s="16"/>
      <c r="D105" s="16"/>
      <c r="E105" s="16"/>
      <c r="F105" s="16"/>
      <c r="G105" s="16"/>
      <c r="H105" s="7"/>
      <c r="I105" s="7"/>
      <c r="J105" s="16"/>
      <c r="K105" s="16"/>
      <c r="L105" s="16"/>
    </row>
    <row r="106" spans="1:12">
      <c r="A106" s="6"/>
      <c r="B106" s="16" t="str">
        <f t="shared" si="4"/>
        <v/>
      </c>
      <c r="C106" s="16"/>
      <c r="D106" s="16"/>
      <c r="E106" s="16"/>
      <c r="F106" s="16"/>
      <c r="G106" s="16"/>
      <c r="H106" s="7"/>
      <c r="I106" s="7"/>
      <c r="J106" s="16"/>
      <c r="K106" s="16"/>
      <c r="L106" s="16"/>
    </row>
    <row r="107" spans="1:12">
      <c r="A107" s="6"/>
      <c r="B107" s="16" t="str">
        <f t="shared" si="4"/>
        <v/>
      </c>
      <c r="C107" s="16"/>
      <c r="D107" s="16"/>
      <c r="E107" s="16"/>
      <c r="F107" s="16"/>
      <c r="G107" s="16"/>
      <c r="H107" s="7"/>
      <c r="I107" s="7"/>
      <c r="J107" s="16"/>
      <c r="K107" s="16"/>
      <c r="L107" s="16"/>
    </row>
    <row r="108" spans="1:12">
      <c r="A108" s="6"/>
      <c r="B108" s="16" t="str">
        <f t="shared" si="4"/>
        <v/>
      </c>
      <c r="C108" s="16"/>
      <c r="D108" s="16"/>
      <c r="E108" s="16"/>
      <c r="F108" s="16"/>
      <c r="G108" s="16"/>
      <c r="H108" s="7"/>
      <c r="I108" s="7"/>
      <c r="J108" s="16"/>
      <c r="K108" s="16"/>
      <c r="L108" s="16"/>
    </row>
    <row r="109" spans="1:12">
      <c r="A109" s="6"/>
      <c r="B109" s="16" t="str">
        <f t="shared" si="4"/>
        <v/>
      </c>
      <c r="C109" s="16"/>
      <c r="D109" s="16"/>
      <c r="E109" s="16"/>
      <c r="F109" s="16"/>
      <c r="G109" s="16"/>
      <c r="H109" s="7"/>
      <c r="I109" s="7"/>
      <c r="J109" s="16"/>
      <c r="K109" s="16"/>
      <c r="L109" s="16"/>
    </row>
    <row r="110" spans="1:12">
      <c r="A110" s="6"/>
      <c r="B110" s="16" t="str">
        <f t="shared" si="4"/>
        <v/>
      </c>
      <c r="C110" s="16"/>
      <c r="D110" s="16"/>
      <c r="E110" s="16"/>
      <c r="F110" s="16"/>
      <c r="G110" s="16"/>
      <c r="H110" s="7"/>
      <c r="I110" s="7"/>
      <c r="J110" s="16"/>
      <c r="K110" s="16"/>
      <c r="L110" s="16"/>
    </row>
    <row r="111" spans="1:12">
      <c r="A111" s="6"/>
      <c r="B111" s="16" t="str">
        <f t="shared" si="4"/>
        <v/>
      </c>
      <c r="C111" s="16"/>
      <c r="D111" s="16"/>
      <c r="E111" s="16"/>
      <c r="F111" s="16"/>
      <c r="G111" s="16"/>
      <c r="H111" s="7"/>
      <c r="I111" s="7"/>
      <c r="J111" s="16"/>
      <c r="K111" s="16"/>
      <c r="L111" s="16"/>
    </row>
    <row r="112" spans="1:12">
      <c r="A112" s="6"/>
      <c r="B112" s="16" t="str">
        <f t="shared" si="4"/>
        <v/>
      </c>
      <c r="C112" s="16"/>
      <c r="D112" s="16"/>
      <c r="E112" s="16"/>
      <c r="F112" s="16"/>
      <c r="G112" s="16"/>
      <c r="H112" s="7"/>
      <c r="I112" s="7"/>
      <c r="J112" s="16"/>
      <c r="K112" s="16"/>
      <c r="L112" s="16"/>
    </row>
    <row r="113" spans="1:12">
      <c r="A113" s="6"/>
      <c r="B113" s="16" t="str">
        <f t="shared" si="4"/>
        <v/>
      </c>
      <c r="C113" s="16"/>
      <c r="D113" s="16"/>
      <c r="E113" s="16"/>
      <c r="F113" s="16"/>
      <c r="G113" s="16"/>
      <c r="H113" s="7"/>
      <c r="I113" s="7"/>
      <c r="J113" s="16"/>
      <c r="K113" s="16"/>
      <c r="L113" s="16"/>
    </row>
    <row r="114" spans="1:12">
      <c r="A114" s="6"/>
      <c r="B114" s="16" t="str">
        <f t="shared" si="4"/>
        <v/>
      </c>
      <c r="C114" s="16"/>
      <c r="D114" s="16"/>
      <c r="E114" s="16"/>
      <c r="F114" s="16"/>
      <c r="G114" s="16"/>
      <c r="H114" s="7"/>
      <c r="I114" s="7"/>
      <c r="J114" s="16"/>
      <c r="K114" s="16"/>
      <c r="L114" s="16"/>
    </row>
    <row r="115" spans="1:12">
      <c r="A115" s="6"/>
      <c r="B115" s="16" t="str">
        <f t="shared" si="4"/>
        <v/>
      </c>
      <c r="C115" s="16"/>
      <c r="D115" s="16"/>
      <c r="E115" s="16"/>
      <c r="F115" s="16"/>
      <c r="G115" s="16"/>
      <c r="H115" s="7"/>
      <c r="I115" s="7"/>
      <c r="J115" s="16"/>
      <c r="K115" s="16"/>
      <c r="L115" s="16"/>
    </row>
    <row r="116" spans="1:12">
      <c r="A116" s="6"/>
      <c r="B116" s="16" t="str">
        <f t="shared" si="4"/>
        <v/>
      </c>
      <c r="C116" s="16"/>
      <c r="D116" s="16"/>
      <c r="E116" s="16"/>
      <c r="F116" s="16"/>
      <c r="G116" s="16"/>
      <c r="H116" s="7"/>
      <c r="I116" s="7"/>
      <c r="J116" s="16"/>
      <c r="K116" s="16"/>
      <c r="L116" s="16"/>
    </row>
    <row r="117" spans="1:12">
      <c r="A117" s="6"/>
      <c r="B117" s="16" t="str">
        <f t="shared" si="4"/>
        <v/>
      </c>
      <c r="C117" s="16"/>
      <c r="D117" s="16"/>
      <c r="E117" s="16"/>
      <c r="F117" s="16"/>
      <c r="G117" s="16"/>
      <c r="H117" s="7"/>
      <c r="I117" s="7"/>
      <c r="J117" s="16"/>
      <c r="K117" s="16"/>
      <c r="L117" s="16"/>
    </row>
    <row r="118" spans="1:12">
      <c r="A118" s="6"/>
      <c r="B118" s="16" t="str">
        <f t="shared" si="4"/>
        <v/>
      </c>
      <c r="C118" s="16"/>
      <c r="D118" s="16"/>
      <c r="E118" s="16"/>
      <c r="F118" s="16"/>
      <c r="G118" s="16"/>
      <c r="H118" s="7"/>
      <c r="I118" s="7"/>
      <c r="J118" s="16"/>
      <c r="K118" s="16"/>
      <c r="L118" s="16"/>
    </row>
    <row r="119" spans="1:12">
      <c r="A119" s="6"/>
      <c r="B119" s="16" t="str">
        <f t="shared" si="4"/>
        <v/>
      </c>
      <c r="C119" s="16"/>
      <c r="D119" s="16"/>
      <c r="E119" s="16"/>
      <c r="F119" s="16"/>
      <c r="G119" s="16"/>
      <c r="H119" s="7"/>
      <c r="I119" s="7"/>
      <c r="J119" s="16"/>
      <c r="K119" s="16"/>
      <c r="L119" s="16"/>
    </row>
    <row r="120" spans="1:12">
      <c r="A120" s="6"/>
      <c r="B120" s="16" t="str">
        <f t="shared" si="4"/>
        <v/>
      </c>
      <c r="C120" s="16"/>
      <c r="D120" s="16"/>
      <c r="E120" s="16"/>
      <c r="F120" s="16"/>
      <c r="G120" s="16"/>
      <c r="H120" s="7"/>
      <c r="I120" s="7"/>
      <c r="J120" s="16"/>
      <c r="K120" s="16"/>
      <c r="L120" s="16"/>
    </row>
    <row r="121" spans="1:12">
      <c r="A121" s="6"/>
      <c r="B121" s="16" t="str">
        <f t="shared" si="4"/>
        <v/>
      </c>
      <c r="C121" s="16"/>
      <c r="D121" s="16"/>
      <c r="E121" s="16"/>
      <c r="F121" s="16"/>
      <c r="G121" s="16"/>
      <c r="H121" s="7"/>
      <c r="I121" s="7"/>
      <c r="J121" s="16"/>
      <c r="K121" s="16"/>
      <c r="L121" s="16"/>
    </row>
    <row r="122" spans="1:12">
      <c r="A122" s="6"/>
      <c r="B122" s="16" t="str">
        <f t="shared" si="4"/>
        <v/>
      </c>
      <c r="C122" s="16"/>
      <c r="D122" s="16"/>
      <c r="E122" s="16"/>
      <c r="F122" s="16"/>
      <c r="G122" s="16"/>
      <c r="H122" s="7"/>
      <c r="I122" s="7"/>
      <c r="J122" s="16"/>
      <c r="K122" s="16"/>
      <c r="L122" s="16"/>
    </row>
    <row r="123" spans="1:12">
      <c r="A123" s="6"/>
      <c r="B123" s="16" t="str">
        <f t="shared" si="4"/>
        <v/>
      </c>
      <c r="C123" s="16"/>
      <c r="D123" s="16"/>
      <c r="E123" s="16"/>
      <c r="F123" s="16"/>
      <c r="G123" s="16"/>
      <c r="H123" s="7"/>
      <c r="I123" s="7"/>
      <c r="J123" s="16"/>
      <c r="K123" s="16"/>
      <c r="L123" s="16"/>
    </row>
    <row r="124" spans="1:12">
      <c r="A124" s="6"/>
      <c r="B124" s="16" t="str">
        <f t="shared" si="4"/>
        <v/>
      </c>
      <c r="C124" s="16"/>
      <c r="D124" s="16"/>
      <c r="E124" s="16"/>
      <c r="F124" s="16"/>
      <c r="G124" s="16"/>
      <c r="H124" s="7"/>
      <c r="I124" s="7"/>
      <c r="J124" s="16"/>
      <c r="K124" s="16"/>
      <c r="L124" s="16"/>
    </row>
    <row r="125" spans="1:12">
      <c r="A125" s="6"/>
      <c r="B125" s="16" t="str">
        <f t="shared" si="4"/>
        <v/>
      </c>
      <c r="C125" s="16"/>
      <c r="D125" s="16"/>
      <c r="E125" s="16"/>
      <c r="F125" s="16"/>
      <c r="G125" s="16"/>
      <c r="H125" s="7"/>
      <c r="I125" s="7"/>
      <c r="J125" s="16"/>
      <c r="K125" s="16"/>
      <c r="L125" s="16"/>
    </row>
    <row r="126" spans="1:12">
      <c r="A126" s="6"/>
      <c r="B126" s="16" t="str">
        <f t="shared" si="4"/>
        <v/>
      </c>
      <c r="C126" s="16"/>
      <c r="D126" s="16"/>
      <c r="E126" s="16"/>
      <c r="F126" s="16"/>
      <c r="G126" s="16"/>
      <c r="H126" s="7"/>
      <c r="I126" s="7"/>
      <c r="J126" s="16"/>
      <c r="K126" s="16"/>
      <c r="L126" s="16"/>
    </row>
    <row r="127" spans="1:12">
      <c r="A127" s="6"/>
      <c r="B127" s="16" t="str">
        <f t="shared" si="4"/>
        <v/>
      </c>
      <c r="C127" s="16"/>
      <c r="D127" s="16"/>
      <c r="E127" s="16"/>
      <c r="F127" s="16"/>
      <c r="G127" s="16"/>
      <c r="H127" s="7"/>
      <c r="I127" s="7"/>
      <c r="J127" s="16"/>
      <c r="K127" s="16"/>
      <c r="L127" s="16"/>
    </row>
    <row r="128" spans="1:12">
      <c r="A128" s="6"/>
      <c r="B128" s="16" t="str">
        <f t="shared" si="4"/>
        <v/>
      </c>
      <c r="C128" s="16"/>
      <c r="D128" s="16"/>
      <c r="E128" s="16"/>
      <c r="F128" s="16"/>
      <c r="G128" s="16"/>
      <c r="H128" s="7"/>
      <c r="I128" s="7"/>
      <c r="J128" s="16"/>
      <c r="K128" s="16"/>
      <c r="L128" s="16"/>
    </row>
    <row r="129" spans="1:12">
      <c r="A129" s="6"/>
      <c r="B129" s="16" t="str">
        <f t="shared" si="4"/>
        <v/>
      </c>
      <c r="C129" s="16"/>
      <c r="D129" s="16"/>
      <c r="E129" s="16"/>
      <c r="F129" s="16"/>
      <c r="G129" s="16"/>
      <c r="H129" s="7"/>
      <c r="I129" s="7"/>
      <c r="J129" s="16"/>
      <c r="K129" s="16"/>
      <c r="L129" s="16"/>
    </row>
    <row r="130" spans="1:12">
      <c r="A130" s="6"/>
      <c r="B130" s="16" t="str">
        <f t="shared" si="4"/>
        <v/>
      </c>
      <c r="C130" s="16"/>
      <c r="D130" s="16"/>
      <c r="E130" s="16"/>
      <c r="F130" s="16"/>
      <c r="G130" s="16"/>
      <c r="H130" s="7"/>
      <c r="I130" s="7"/>
      <c r="J130" s="16"/>
      <c r="K130" s="16"/>
      <c r="L130" s="16"/>
    </row>
    <row r="131" spans="1:12">
      <c r="A131" s="6"/>
      <c r="B131" s="16" t="str">
        <f t="shared" si="4"/>
        <v/>
      </c>
      <c r="C131" s="16"/>
      <c r="D131" s="16"/>
      <c r="E131" s="16"/>
      <c r="F131" s="16"/>
      <c r="G131" s="16"/>
      <c r="H131" s="7"/>
      <c r="I131" s="7"/>
      <c r="J131" s="16"/>
      <c r="K131" s="16"/>
      <c r="L131" s="16"/>
    </row>
    <row r="132" spans="1:12">
      <c r="A132" s="6"/>
      <c r="B132" s="16" t="str">
        <f t="shared" si="4"/>
        <v/>
      </c>
      <c r="C132" s="16"/>
      <c r="D132" s="16"/>
      <c r="E132" s="16"/>
      <c r="F132" s="16"/>
      <c r="G132" s="16"/>
      <c r="H132" s="7"/>
      <c r="I132" s="7"/>
      <c r="J132" s="16"/>
      <c r="K132" s="16"/>
      <c r="L132" s="16"/>
    </row>
    <row r="133" spans="1:12">
      <c r="A133" s="6"/>
      <c r="B133" s="16" t="str">
        <f t="shared" si="4"/>
        <v/>
      </c>
      <c r="C133" s="16"/>
      <c r="D133" s="16"/>
      <c r="E133" s="16"/>
      <c r="F133" s="16"/>
      <c r="G133" s="16"/>
      <c r="H133" s="7"/>
      <c r="I133" s="7"/>
      <c r="J133" s="16"/>
      <c r="K133" s="16"/>
      <c r="L133" s="16"/>
    </row>
    <row r="134" spans="1:12">
      <c r="A134" s="6"/>
      <c r="B134" s="16" t="str">
        <f t="shared" ref="B134:B165" si="5">IF(A134="","",TEXT(A134,"mmm/aaaa"))</f>
        <v/>
      </c>
      <c r="C134" s="16"/>
      <c r="D134" s="16"/>
      <c r="E134" s="16"/>
      <c r="F134" s="16"/>
      <c r="G134" s="16"/>
      <c r="H134" s="7"/>
      <c r="I134" s="7"/>
      <c r="J134" s="16"/>
      <c r="K134" s="16"/>
      <c r="L134" s="16"/>
    </row>
    <row r="135" spans="1:12">
      <c r="A135" s="6"/>
      <c r="B135" s="16" t="str">
        <f t="shared" si="5"/>
        <v/>
      </c>
      <c r="C135" s="16"/>
      <c r="D135" s="16"/>
      <c r="E135" s="16"/>
      <c r="F135" s="16"/>
      <c r="G135" s="16"/>
      <c r="H135" s="7"/>
      <c r="I135" s="7"/>
      <c r="J135" s="16"/>
      <c r="K135" s="16"/>
      <c r="L135" s="16"/>
    </row>
    <row r="136" spans="1:12">
      <c r="A136" s="6"/>
      <c r="B136" s="16" t="str">
        <f t="shared" si="5"/>
        <v/>
      </c>
      <c r="C136" s="16"/>
      <c r="D136" s="16"/>
      <c r="E136" s="16"/>
      <c r="F136" s="16"/>
      <c r="G136" s="16"/>
      <c r="H136" s="7"/>
      <c r="I136" s="7"/>
      <c r="J136" s="16"/>
      <c r="K136" s="16"/>
      <c r="L136" s="16"/>
    </row>
    <row r="137" spans="1:12">
      <c r="A137" s="6"/>
      <c r="B137" s="16" t="str">
        <f t="shared" si="5"/>
        <v/>
      </c>
      <c r="C137" s="16"/>
      <c r="D137" s="16"/>
      <c r="E137" s="16"/>
      <c r="F137" s="16"/>
      <c r="G137" s="16"/>
      <c r="H137" s="7"/>
      <c r="I137" s="7"/>
      <c r="J137" s="16"/>
      <c r="K137" s="16"/>
      <c r="L137" s="16"/>
    </row>
    <row r="138" spans="1:12">
      <c r="A138" s="6"/>
      <c r="B138" s="16" t="str">
        <f t="shared" si="5"/>
        <v/>
      </c>
      <c r="C138" s="16"/>
      <c r="D138" s="16"/>
      <c r="E138" s="16"/>
      <c r="F138" s="16"/>
      <c r="G138" s="16"/>
      <c r="H138" s="7"/>
      <c r="I138" s="7"/>
      <c r="J138" s="16"/>
      <c r="K138" s="16"/>
      <c r="L138" s="16"/>
    </row>
    <row r="139" spans="1:12">
      <c r="A139" s="6"/>
      <c r="B139" s="16" t="str">
        <f t="shared" si="5"/>
        <v/>
      </c>
      <c r="C139" s="16"/>
      <c r="D139" s="16"/>
      <c r="E139" s="16"/>
      <c r="F139" s="16"/>
      <c r="G139" s="16"/>
      <c r="H139" s="7"/>
      <c r="I139" s="7"/>
      <c r="J139" s="16"/>
      <c r="K139" s="16"/>
      <c r="L139" s="16"/>
    </row>
    <row r="140" spans="1:12">
      <c r="A140" s="6"/>
      <c r="B140" s="16" t="str">
        <f t="shared" si="5"/>
        <v/>
      </c>
      <c r="C140" s="16"/>
      <c r="D140" s="16"/>
      <c r="E140" s="16"/>
      <c r="F140" s="16"/>
      <c r="G140" s="16"/>
      <c r="H140" s="7"/>
      <c r="I140" s="7"/>
      <c r="J140" s="16"/>
      <c r="K140" s="16"/>
      <c r="L140" s="16"/>
    </row>
    <row r="141" spans="1:12">
      <c r="A141" s="6"/>
      <c r="B141" s="16" t="str">
        <f t="shared" si="5"/>
        <v/>
      </c>
      <c r="C141" s="16"/>
      <c r="D141" s="16"/>
      <c r="E141" s="16"/>
      <c r="F141" s="16"/>
      <c r="G141" s="16"/>
      <c r="H141" s="7"/>
      <c r="I141" s="7"/>
      <c r="J141" s="16"/>
      <c r="K141" s="16"/>
      <c r="L141" s="16"/>
    </row>
    <row r="142" spans="1:12">
      <c r="A142" s="6"/>
      <c r="B142" s="16" t="str">
        <f t="shared" si="5"/>
        <v/>
      </c>
      <c r="C142" s="16"/>
      <c r="D142" s="16"/>
      <c r="E142" s="16"/>
      <c r="F142" s="16"/>
      <c r="G142" s="16"/>
      <c r="H142" s="7"/>
      <c r="I142" s="7"/>
      <c r="J142" s="16"/>
      <c r="K142" s="16"/>
      <c r="L142" s="16"/>
    </row>
    <row r="143" spans="1:12">
      <c r="A143" s="6"/>
      <c r="B143" s="16" t="str">
        <f t="shared" si="5"/>
        <v/>
      </c>
      <c r="C143" s="16"/>
      <c r="D143" s="16"/>
      <c r="E143" s="16"/>
      <c r="F143" s="16"/>
      <c r="G143" s="16"/>
      <c r="H143" s="7"/>
      <c r="I143" s="7"/>
      <c r="J143" s="16"/>
      <c r="K143" s="16"/>
      <c r="L143" s="16"/>
    </row>
    <row r="144" spans="1:12">
      <c r="A144" s="6"/>
      <c r="B144" s="16" t="str">
        <f t="shared" si="5"/>
        <v/>
      </c>
      <c r="C144" s="16"/>
      <c r="D144" s="16"/>
      <c r="E144" s="16"/>
      <c r="F144" s="16"/>
      <c r="G144" s="16"/>
      <c r="H144" s="7"/>
      <c r="I144" s="7"/>
      <c r="J144" s="16"/>
      <c r="K144" s="16"/>
      <c r="L144" s="16"/>
    </row>
    <row r="145" spans="1:12">
      <c r="A145" s="6"/>
      <c r="B145" s="16" t="str">
        <f t="shared" si="5"/>
        <v/>
      </c>
      <c r="C145" s="16"/>
      <c r="D145" s="16"/>
      <c r="E145" s="16"/>
      <c r="F145" s="16"/>
      <c r="G145" s="16"/>
      <c r="H145" s="7"/>
      <c r="I145" s="7"/>
      <c r="J145" s="16"/>
      <c r="K145" s="16"/>
      <c r="L145" s="16"/>
    </row>
    <row r="146" spans="1:12">
      <c r="A146" s="6"/>
      <c r="B146" s="16" t="str">
        <f t="shared" si="5"/>
        <v/>
      </c>
      <c r="C146" s="16"/>
      <c r="D146" s="16"/>
      <c r="E146" s="16"/>
      <c r="F146" s="16"/>
      <c r="G146" s="16"/>
      <c r="H146" s="7"/>
      <c r="I146" s="7"/>
      <c r="J146" s="16"/>
      <c r="K146" s="16"/>
      <c r="L146" s="16"/>
    </row>
    <row r="147" spans="1:12">
      <c r="A147" s="6"/>
      <c r="B147" s="16" t="str">
        <f t="shared" si="5"/>
        <v/>
      </c>
      <c r="C147" s="16"/>
      <c r="D147" s="16"/>
      <c r="E147" s="16"/>
      <c r="F147" s="16"/>
      <c r="G147" s="16"/>
      <c r="H147" s="7"/>
      <c r="I147" s="7"/>
      <c r="J147" s="16"/>
      <c r="K147" s="16"/>
      <c r="L147" s="16"/>
    </row>
    <row r="148" spans="1:12">
      <c r="A148" s="6"/>
      <c r="B148" s="16" t="str">
        <f t="shared" si="5"/>
        <v/>
      </c>
      <c r="C148" s="16"/>
      <c r="D148" s="16"/>
      <c r="E148" s="16"/>
      <c r="F148" s="16"/>
      <c r="G148" s="16"/>
      <c r="H148" s="7"/>
      <c r="I148" s="7"/>
      <c r="J148" s="16"/>
      <c r="K148" s="16"/>
      <c r="L148" s="16"/>
    </row>
    <row r="149" spans="1:12">
      <c r="A149" s="6"/>
      <c r="B149" s="16" t="str">
        <f t="shared" si="5"/>
        <v/>
      </c>
      <c r="C149" s="16"/>
      <c r="D149" s="16"/>
      <c r="E149" s="16"/>
      <c r="F149" s="16"/>
      <c r="G149" s="16"/>
      <c r="H149" s="7"/>
      <c r="I149" s="7"/>
      <c r="J149" s="16"/>
      <c r="K149" s="16"/>
      <c r="L149" s="16"/>
    </row>
    <row r="150" spans="1:12">
      <c r="A150" s="6"/>
      <c r="B150" s="16" t="str">
        <f t="shared" si="5"/>
        <v/>
      </c>
      <c r="C150" s="16"/>
      <c r="D150" s="16"/>
      <c r="E150" s="16"/>
      <c r="F150" s="16"/>
      <c r="G150" s="16"/>
      <c r="H150" s="7"/>
      <c r="I150" s="7"/>
      <c r="J150" s="16"/>
      <c r="K150" s="16"/>
      <c r="L150" s="16"/>
    </row>
    <row r="151" spans="1:12">
      <c r="A151" s="6"/>
      <c r="B151" s="16" t="str">
        <f t="shared" si="5"/>
        <v/>
      </c>
      <c r="C151" s="16"/>
      <c r="D151" s="16"/>
      <c r="E151" s="16"/>
      <c r="F151" s="16"/>
      <c r="G151" s="16"/>
      <c r="H151" s="7"/>
      <c r="I151" s="7"/>
      <c r="J151" s="16"/>
      <c r="K151" s="16"/>
      <c r="L151" s="16"/>
    </row>
    <row r="152" spans="1:12">
      <c r="A152" s="6"/>
      <c r="B152" s="16" t="str">
        <f t="shared" si="5"/>
        <v/>
      </c>
      <c r="C152" s="16"/>
      <c r="D152" s="16"/>
      <c r="E152" s="16"/>
      <c r="F152" s="16"/>
      <c r="G152" s="16"/>
      <c r="H152" s="7"/>
      <c r="I152" s="7"/>
      <c r="J152" s="16"/>
      <c r="K152" s="16"/>
      <c r="L152" s="16"/>
    </row>
    <row r="153" spans="1:12">
      <c r="A153" s="6"/>
      <c r="B153" s="16" t="str">
        <f t="shared" si="5"/>
        <v/>
      </c>
      <c r="C153" s="16"/>
      <c r="D153" s="16"/>
      <c r="E153" s="16"/>
      <c r="F153" s="16"/>
      <c r="G153" s="16"/>
      <c r="H153" s="7"/>
      <c r="I153" s="7"/>
      <c r="J153" s="16"/>
      <c r="K153" s="16"/>
      <c r="L153" s="16"/>
    </row>
    <row r="154" spans="1:12">
      <c r="A154" s="6"/>
      <c r="B154" s="16" t="str">
        <f t="shared" si="5"/>
        <v/>
      </c>
      <c r="C154" s="16"/>
      <c r="D154" s="16"/>
      <c r="E154" s="16"/>
      <c r="F154" s="16"/>
      <c r="G154" s="16"/>
      <c r="H154" s="7"/>
      <c r="I154" s="7"/>
      <c r="J154" s="16"/>
      <c r="K154" s="16"/>
      <c r="L154" s="16"/>
    </row>
    <row r="155" spans="1:12">
      <c r="A155" s="6"/>
      <c r="B155" s="16" t="str">
        <f t="shared" si="5"/>
        <v/>
      </c>
      <c r="C155" s="16"/>
      <c r="D155" s="16"/>
      <c r="E155" s="16"/>
      <c r="F155" s="16"/>
      <c r="G155" s="16"/>
      <c r="H155" s="7"/>
      <c r="I155" s="7"/>
      <c r="J155" s="16"/>
      <c r="K155" s="16"/>
      <c r="L155" s="16"/>
    </row>
    <row r="156" spans="1:12">
      <c r="A156" s="6"/>
      <c r="B156" s="16" t="str">
        <f t="shared" si="5"/>
        <v/>
      </c>
      <c r="C156" s="16"/>
      <c r="D156" s="16"/>
      <c r="E156" s="16"/>
      <c r="F156" s="16"/>
      <c r="G156" s="16"/>
      <c r="H156" s="7"/>
      <c r="I156" s="7"/>
      <c r="J156" s="16"/>
      <c r="K156" s="16"/>
      <c r="L156" s="16"/>
    </row>
    <row r="157" spans="1:12">
      <c r="A157" s="6"/>
      <c r="B157" s="16" t="str">
        <f t="shared" si="5"/>
        <v/>
      </c>
      <c r="C157" s="16"/>
      <c r="D157" s="16"/>
      <c r="E157" s="16"/>
      <c r="F157" s="16"/>
      <c r="G157" s="16"/>
      <c r="H157" s="7"/>
      <c r="I157" s="7"/>
      <c r="J157" s="16"/>
      <c r="K157" s="16"/>
      <c r="L157" s="16"/>
    </row>
    <row r="158" spans="1:12">
      <c r="A158" s="6"/>
      <c r="B158" s="16" t="str">
        <f t="shared" si="5"/>
        <v/>
      </c>
      <c r="C158" s="16"/>
      <c r="D158" s="16"/>
      <c r="E158" s="16"/>
      <c r="F158" s="16"/>
      <c r="G158" s="16"/>
      <c r="H158" s="7"/>
      <c r="I158" s="7"/>
      <c r="J158" s="16"/>
      <c r="K158" s="16"/>
      <c r="L158" s="16"/>
    </row>
    <row r="159" spans="1:12">
      <c r="A159" s="6"/>
      <c r="B159" s="16" t="str">
        <f t="shared" si="5"/>
        <v/>
      </c>
      <c r="C159" s="16"/>
      <c r="D159" s="16"/>
      <c r="E159" s="16"/>
      <c r="F159" s="16"/>
      <c r="G159" s="16"/>
      <c r="H159" s="7"/>
      <c r="I159" s="7"/>
      <c r="J159" s="16"/>
      <c r="K159" s="16"/>
      <c r="L159" s="16"/>
    </row>
    <row r="160" spans="1:12">
      <c r="A160" s="6"/>
      <c r="B160" s="16" t="str">
        <f t="shared" si="5"/>
        <v/>
      </c>
      <c r="C160" s="16"/>
      <c r="D160" s="16"/>
      <c r="E160" s="16"/>
      <c r="F160" s="16"/>
      <c r="G160" s="16"/>
      <c r="H160" s="7"/>
      <c r="I160" s="7"/>
      <c r="J160" s="16"/>
      <c r="K160" s="16"/>
      <c r="L160" s="16"/>
    </row>
    <row r="161" spans="1:12">
      <c r="A161" s="6"/>
      <c r="B161" s="16" t="str">
        <f t="shared" si="5"/>
        <v/>
      </c>
      <c r="C161" s="16"/>
      <c r="D161" s="16"/>
      <c r="E161" s="16"/>
      <c r="F161" s="16"/>
      <c r="G161" s="16"/>
      <c r="H161" s="7"/>
      <c r="I161" s="7"/>
      <c r="J161" s="16"/>
      <c r="K161" s="16"/>
      <c r="L161" s="16"/>
    </row>
    <row r="162" spans="1:12">
      <c r="A162" s="6"/>
      <c r="B162" s="16" t="str">
        <f t="shared" si="5"/>
        <v/>
      </c>
      <c r="C162" s="16"/>
      <c r="D162" s="16"/>
      <c r="E162" s="16"/>
      <c r="F162" s="16"/>
      <c r="G162" s="16"/>
      <c r="H162" s="7"/>
      <c r="I162" s="7"/>
      <c r="J162" s="16"/>
      <c r="K162" s="16"/>
      <c r="L162" s="16"/>
    </row>
    <row r="163" spans="1:12">
      <c r="A163" s="6"/>
      <c r="B163" s="16" t="str">
        <f t="shared" si="5"/>
        <v/>
      </c>
      <c r="C163" s="16"/>
      <c r="D163" s="16"/>
      <c r="E163" s="16"/>
      <c r="F163" s="16"/>
      <c r="G163" s="16"/>
      <c r="H163" s="7"/>
      <c r="I163" s="7"/>
      <c r="J163" s="16"/>
      <c r="K163" s="16"/>
      <c r="L163" s="16"/>
    </row>
    <row r="164" spans="1:12">
      <c r="A164" s="6"/>
      <c r="B164" s="16" t="str">
        <f t="shared" si="5"/>
        <v/>
      </c>
      <c r="C164" s="16"/>
      <c r="D164" s="16"/>
      <c r="E164" s="16"/>
      <c r="F164" s="16"/>
      <c r="G164" s="16"/>
      <c r="H164" s="7"/>
      <c r="I164" s="7"/>
      <c r="J164" s="16"/>
      <c r="K164" s="16"/>
      <c r="L164" s="16"/>
    </row>
    <row r="165" spans="1:12">
      <c r="A165" s="6"/>
      <c r="B165" s="16" t="str">
        <f t="shared" si="5"/>
        <v/>
      </c>
      <c r="C165" s="16"/>
      <c r="D165" s="16"/>
      <c r="E165" s="16"/>
      <c r="F165" s="16"/>
      <c r="G165" s="16"/>
      <c r="H165" s="7"/>
      <c r="I165" s="7"/>
      <c r="J165" s="16"/>
      <c r="K165" s="16"/>
      <c r="L165" s="16"/>
    </row>
    <row r="166" spans="1:12">
      <c r="A166" s="6"/>
      <c r="B166" s="16" t="str">
        <f t="shared" ref="B166:B197" si="6">IF(A166="","",TEXT(A166,"mmm/aaaa"))</f>
        <v/>
      </c>
      <c r="C166" s="16"/>
      <c r="D166" s="16"/>
      <c r="E166" s="16"/>
      <c r="F166" s="16"/>
      <c r="G166" s="16"/>
      <c r="H166" s="7"/>
      <c r="I166" s="7"/>
      <c r="J166" s="16"/>
      <c r="K166" s="16"/>
      <c r="L166" s="16"/>
    </row>
    <row r="167" spans="1:12">
      <c r="A167" s="6"/>
      <c r="B167" s="16" t="str">
        <f t="shared" si="6"/>
        <v/>
      </c>
      <c r="C167" s="16"/>
      <c r="D167" s="16"/>
      <c r="E167" s="16"/>
      <c r="F167" s="16"/>
      <c r="G167" s="16"/>
      <c r="H167" s="7"/>
      <c r="I167" s="7"/>
      <c r="J167" s="16"/>
      <c r="K167" s="16"/>
      <c r="L167" s="16"/>
    </row>
    <row r="168" spans="1:12">
      <c r="A168" s="6"/>
      <c r="B168" s="16" t="str">
        <f t="shared" si="6"/>
        <v/>
      </c>
      <c r="C168" s="16"/>
      <c r="D168" s="16"/>
      <c r="E168" s="16"/>
      <c r="F168" s="16"/>
      <c r="G168" s="16"/>
      <c r="H168" s="7"/>
      <c r="I168" s="7"/>
      <c r="J168" s="16"/>
      <c r="K168" s="16"/>
      <c r="L168" s="16"/>
    </row>
    <row r="169" spans="1:12">
      <c r="A169" s="6"/>
      <c r="B169" s="16" t="str">
        <f t="shared" si="6"/>
        <v/>
      </c>
      <c r="C169" s="16"/>
      <c r="D169" s="16"/>
      <c r="E169" s="16"/>
      <c r="F169" s="16"/>
      <c r="G169" s="16"/>
      <c r="H169" s="7"/>
      <c r="I169" s="7"/>
      <c r="J169" s="16"/>
      <c r="K169" s="16"/>
      <c r="L169" s="16"/>
    </row>
    <row r="170" spans="1:12">
      <c r="A170" s="6"/>
      <c r="B170" s="16" t="str">
        <f t="shared" si="6"/>
        <v/>
      </c>
      <c r="C170" s="16"/>
      <c r="D170" s="16"/>
      <c r="E170" s="16"/>
      <c r="F170" s="16"/>
      <c r="G170" s="16"/>
      <c r="H170" s="7"/>
      <c r="I170" s="7"/>
      <c r="J170" s="16"/>
      <c r="K170" s="16"/>
      <c r="L170" s="16"/>
    </row>
    <row r="171" spans="1:12">
      <c r="A171" s="6"/>
      <c r="B171" s="16" t="str">
        <f t="shared" si="6"/>
        <v/>
      </c>
      <c r="C171" s="16"/>
      <c r="D171" s="16"/>
      <c r="E171" s="16"/>
      <c r="F171" s="16"/>
      <c r="G171" s="16"/>
      <c r="H171" s="7"/>
      <c r="I171" s="7"/>
      <c r="J171" s="16"/>
      <c r="K171" s="16"/>
      <c r="L171" s="16"/>
    </row>
    <row r="172" spans="1:12">
      <c r="A172" s="6"/>
      <c r="B172" s="16" t="str">
        <f t="shared" si="6"/>
        <v/>
      </c>
      <c r="C172" s="16"/>
      <c r="D172" s="16"/>
      <c r="E172" s="16"/>
      <c r="F172" s="16"/>
      <c r="G172" s="16"/>
      <c r="H172" s="7"/>
      <c r="I172" s="7"/>
      <c r="J172" s="16"/>
      <c r="K172" s="16"/>
      <c r="L172" s="16"/>
    </row>
    <row r="173" spans="1:12">
      <c r="A173" s="6"/>
      <c r="B173" s="16" t="str">
        <f t="shared" si="6"/>
        <v/>
      </c>
      <c r="C173" s="16"/>
      <c r="D173" s="16"/>
      <c r="E173" s="16"/>
      <c r="F173" s="16"/>
      <c r="G173" s="16"/>
      <c r="H173" s="7"/>
      <c r="I173" s="7"/>
      <c r="J173" s="16"/>
      <c r="K173" s="16"/>
      <c r="L173" s="16"/>
    </row>
    <row r="174" spans="1:12">
      <c r="A174" s="6"/>
      <c r="B174" s="16" t="str">
        <f t="shared" si="6"/>
        <v/>
      </c>
      <c r="C174" s="16"/>
      <c r="D174" s="16"/>
      <c r="E174" s="16"/>
      <c r="F174" s="16"/>
      <c r="G174" s="16"/>
      <c r="H174" s="7"/>
      <c r="I174" s="7"/>
      <c r="J174" s="16"/>
      <c r="K174" s="16"/>
      <c r="L174" s="16"/>
    </row>
    <row r="175" spans="1:12">
      <c r="A175" s="6"/>
      <c r="B175" s="16" t="str">
        <f t="shared" si="6"/>
        <v/>
      </c>
      <c r="C175" s="16"/>
      <c r="D175" s="16"/>
      <c r="E175" s="16"/>
      <c r="F175" s="16"/>
      <c r="G175" s="16"/>
      <c r="H175" s="7"/>
      <c r="I175" s="7"/>
      <c r="J175" s="16"/>
      <c r="K175" s="16"/>
      <c r="L175" s="16"/>
    </row>
    <row r="176" spans="1:12">
      <c r="A176" s="6"/>
      <c r="B176" s="16" t="str">
        <f t="shared" si="6"/>
        <v/>
      </c>
      <c r="C176" s="16"/>
      <c r="D176" s="16"/>
      <c r="E176" s="16"/>
      <c r="F176" s="16"/>
      <c r="G176" s="16"/>
      <c r="H176" s="7"/>
      <c r="I176" s="7"/>
      <c r="J176" s="16"/>
      <c r="K176" s="16"/>
      <c r="L176" s="16"/>
    </row>
    <row r="177" spans="1:12">
      <c r="A177" s="6"/>
      <c r="B177" s="16" t="str">
        <f t="shared" si="6"/>
        <v/>
      </c>
      <c r="C177" s="16"/>
      <c r="D177" s="16"/>
      <c r="E177" s="16"/>
      <c r="F177" s="16"/>
      <c r="G177" s="16"/>
      <c r="H177" s="7"/>
      <c r="I177" s="7"/>
      <c r="J177" s="16"/>
      <c r="K177" s="16"/>
      <c r="L177" s="16"/>
    </row>
    <row r="178" spans="1:12">
      <c r="A178" s="6"/>
      <c r="B178" s="16" t="str">
        <f t="shared" si="6"/>
        <v/>
      </c>
      <c r="C178" s="16"/>
      <c r="D178" s="16"/>
      <c r="E178" s="16"/>
      <c r="F178" s="16"/>
      <c r="G178" s="16"/>
      <c r="H178" s="7"/>
      <c r="I178" s="7"/>
      <c r="J178" s="16"/>
      <c r="K178" s="16"/>
      <c r="L178" s="16"/>
    </row>
    <row r="179" spans="1:12">
      <c r="A179" s="6"/>
      <c r="B179" s="16" t="str">
        <f t="shared" si="6"/>
        <v/>
      </c>
      <c r="C179" s="16"/>
      <c r="D179" s="16"/>
      <c r="E179" s="16"/>
      <c r="F179" s="16"/>
      <c r="G179" s="16"/>
      <c r="H179" s="7"/>
      <c r="I179" s="7"/>
      <c r="J179" s="16"/>
      <c r="K179" s="16"/>
      <c r="L179" s="16"/>
    </row>
    <row r="180" spans="1:12">
      <c r="A180" s="6"/>
      <c r="B180" s="16" t="str">
        <f t="shared" si="6"/>
        <v/>
      </c>
      <c r="C180" s="16"/>
      <c r="D180" s="16"/>
      <c r="E180" s="16"/>
      <c r="F180" s="16"/>
      <c r="G180" s="16"/>
      <c r="H180" s="7"/>
      <c r="I180" s="7"/>
      <c r="J180" s="16"/>
      <c r="K180" s="16"/>
      <c r="L180" s="16"/>
    </row>
    <row r="181" spans="1:12">
      <c r="A181" s="6"/>
      <c r="B181" s="16" t="str">
        <f t="shared" si="6"/>
        <v/>
      </c>
      <c r="C181" s="16"/>
      <c r="D181" s="16"/>
      <c r="E181" s="16"/>
      <c r="F181" s="16"/>
      <c r="G181" s="16"/>
      <c r="H181" s="7"/>
      <c r="I181" s="7"/>
      <c r="J181" s="16"/>
      <c r="K181" s="16"/>
      <c r="L181" s="16"/>
    </row>
    <row r="182" spans="1:12">
      <c r="A182" s="6"/>
      <c r="B182" s="16" t="str">
        <f t="shared" si="6"/>
        <v/>
      </c>
      <c r="C182" s="16"/>
      <c r="D182" s="16"/>
      <c r="E182" s="16"/>
      <c r="F182" s="16"/>
      <c r="G182" s="16"/>
      <c r="H182" s="7"/>
      <c r="I182" s="7"/>
      <c r="J182" s="16"/>
      <c r="K182" s="16"/>
      <c r="L182" s="16"/>
    </row>
    <row r="183" spans="1:12">
      <c r="A183" s="6"/>
      <c r="B183" s="16" t="str">
        <f t="shared" si="6"/>
        <v/>
      </c>
      <c r="C183" s="16"/>
      <c r="D183" s="16"/>
      <c r="E183" s="16"/>
      <c r="F183" s="16"/>
      <c r="G183" s="16"/>
      <c r="H183" s="7"/>
      <c r="I183" s="7"/>
      <c r="J183" s="16"/>
      <c r="K183" s="16"/>
      <c r="L183" s="16"/>
    </row>
    <row r="184" spans="1:12">
      <c r="A184" s="6"/>
      <c r="B184" s="16" t="str">
        <f t="shared" si="6"/>
        <v/>
      </c>
      <c r="C184" s="16"/>
      <c r="D184" s="16"/>
      <c r="E184" s="16"/>
      <c r="F184" s="16"/>
      <c r="G184" s="16"/>
      <c r="H184" s="7"/>
      <c r="I184" s="7"/>
      <c r="J184" s="16"/>
      <c r="K184" s="16"/>
      <c r="L184" s="16"/>
    </row>
    <row r="185" spans="1:12">
      <c r="A185" s="6"/>
      <c r="B185" s="16" t="str">
        <f t="shared" si="6"/>
        <v/>
      </c>
      <c r="C185" s="16"/>
      <c r="D185" s="16"/>
      <c r="E185" s="16"/>
      <c r="F185" s="16"/>
      <c r="G185" s="16"/>
      <c r="H185" s="7"/>
      <c r="I185" s="7"/>
      <c r="J185" s="16"/>
      <c r="K185" s="16"/>
      <c r="L185" s="16"/>
    </row>
    <row r="186" spans="1:12">
      <c r="A186" s="6"/>
      <c r="B186" s="16" t="str">
        <f t="shared" si="6"/>
        <v/>
      </c>
      <c r="C186" s="16"/>
      <c r="D186" s="16"/>
      <c r="E186" s="16"/>
      <c r="F186" s="16"/>
      <c r="G186" s="16"/>
      <c r="H186" s="7"/>
      <c r="I186" s="7"/>
      <c r="J186" s="16"/>
      <c r="K186" s="16"/>
      <c r="L186" s="16"/>
    </row>
    <row r="187" spans="1:12">
      <c r="A187" s="6"/>
      <c r="B187" s="16" t="str">
        <f t="shared" si="6"/>
        <v/>
      </c>
      <c r="C187" s="16"/>
      <c r="D187" s="16"/>
      <c r="E187" s="16"/>
      <c r="F187" s="16"/>
      <c r="G187" s="16"/>
      <c r="H187" s="7"/>
      <c r="I187" s="7"/>
      <c r="J187" s="16"/>
      <c r="K187" s="16"/>
      <c r="L187" s="16"/>
    </row>
    <row r="188" spans="1:12">
      <c r="A188" s="6"/>
      <c r="B188" s="16" t="str">
        <f t="shared" si="6"/>
        <v/>
      </c>
      <c r="C188" s="16"/>
      <c r="D188" s="16"/>
      <c r="E188" s="16"/>
      <c r="F188" s="16"/>
      <c r="G188" s="16"/>
      <c r="H188" s="7"/>
      <c r="I188" s="7"/>
      <c r="J188" s="16"/>
      <c r="K188" s="16"/>
      <c r="L188" s="16"/>
    </row>
    <row r="189" spans="1:12">
      <c r="A189" s="6"/>
      <c r="B189" s="16" t="str">
        <f t="shared" si="6"/>
        <v/>
      </c>
      <c r="C189" s="16"/>
      <c r="D189" s="16"/>
      <c r="E189" s="16"/>
      <c r="F189" s="16"/>
      <c r="G189" s="16"/>
      <c r="H189" s="7"/>
      <c r="I189" s="7"/>
      <c r="J189" s="16"/>
      <c r="K189" s="16"/>
      <c r="L189" s="16"/>
    </row>
    <row r="190" spans="1:12">
      <c r="A190" s="6"/>
      <c r="B190" s="16" t="str">
        <f t="shared" si="6"/>
        <v/>
      </c>
      <c r="C190" s="16"/>
      <c r="D190" s="16"/>
      <c r="E190" s="16"/>
      <c r="F190" s="16"/>
      <c r="G190" s="16"/>
      <c r="H190" s="7"/>
      <c r="I190" s="7"/>
      <c r="J190" s="16"/>
      <c r="K190" s="16"/>
      <c r="L190" s="16"/>
    </row>
    <row r="191" spans="1:12">
      <c r="A191" s="6"/>
      <c r="B191" s="16" t="str">
        <f t="shared" si="6"/>
        <v/>
      </c>
      <c r="C191" s="16"/>
      <c r="D191" s="16"/>
      <c r="E191" s="16"/>
      <c r="F191" s="16"/>
      <c r="G191" s="16"/>
      <c r="H191" s="7"/>
      <c r="I191" s="7"/>
      <c r="J191" s="16"/>
      <c r="K191" s="16"/>
      <c r="L191" s="16"/>
    </row>
    <row r="192" spans="1:12">
      <c r="A192" s="6"/>
      <c r="B192" s="16" t="str">
        <f t="shared" si="6"/>
        <v/>
      </c>
      <c r="C192" s="16"/>
      <c r="D192" s="16"/>
      <c r="E192" s="16"/>
      <c r="F192" s="16"/>
      <c r="G192" s="16"/>
      <c r="H192" s="7"/>
      <c r="I192" s="7"/>
      <c r="J192" s="16"/>
      <c r="K192" s="16"/>
      <c r="L192" s="16"/>
    </row>
    <row r="193" spans="1:12">
      <c r="A193" s="6"/>
      <c r="B193" s="16" t="str">
        <f t="shared" si="6"/>
        <v/>
      </c>
      <c r="C193" s="16"/>
      <c r="D193" s="16"/>
      <c r="E193" s="16"/>
      <c r="F193" s="16"/>
      <c r="G193" s="16"/>
      <c r="H193" s="7"/>
      <c r="I193" s="7"/>
      <c r="J193" s="16"/>
      <c r="K193" s="16"/>
      <c r="L193" s="16"/>
    </row>
    <row r="194" spans="1:12">
      <c r="A194" s="6"/>
      <c r="B194" s="16" t="str">
        <f t="shared" si="6"/>
        <v/>
      </c>
      <c r="C194" s="16"/>
      <c r="D194" s="16"/>
      <c r="E194" s="16"/>
      <c r="F194" s="16"/>
      <c r="G194" s="16"/>
      <c r="H194" s="7"/>
      <c r="I194" s="7"/>
      <c r="J194" s="16"/>
      <c r="K194" s="16"/>
      <c r="L194" s="16"/>
    </row>
    <row r="195" spans="1:12">
      <c r="A195" s="6"/>
      <c r="B195" s="16" t="str">
        <f t="shared" si="6"/>
        <v/>
      </c>
      <c r="C195" s="16"/>
      <c r="D195" s="16"/>
      <c r="E195" s="16"/>
      <c r="F195" s="16"/>
      <c r="G195" s="16"/>
      <c r="H195" s="7"/>
      <c r="I195" s="7"/>
      <c r="J195" s="16"/>
      <c r="K195" s="16"/>
      <c r="L195" s="16"/>
    </row>
    <row r="196" spans="1:12">
      <c r="A196" s="6"/>
      <c r="B196" s="16" t="str">
        <f t="shared" si="6"/>
        <v/>
      </c>
      <c r="C196" s="16"/>
      <c r="D196" s="16"/>
      <c r="E196" s="16"/>
      <c r="F196" s="16"/>
      <c r="G196" s="16"/>
      <c r="H196" s="7"/>
      <c r="I196" s="7"/>
      <c r="J196" s="16"/>
      <c r="K196" s="16"/>
      <c r="L196" s="16"/>
    </row>
    <row r="197" spans="1:12">
      <c r="A197" s="6"/>
      <c r="B197" s="16" t="str">
        <f t="shared" si="6"/>
        <v/>
      </c>
      <c r="C197" s="16"/>
      <c r="D197" s="16"/>
      <c r="E197" s="16"/>
      <c r="F197" s="16"/>
      <c r="G197" s="16"/>
      <c r="H197" s="7"/>
      <c r="I197" s="7"/>
      <c r="J197" s="16"/>
      <c r="K197" s="16"/>
      <c r="L197" s="16"/>
    </row>
    <row r="198" spans="1:12">
      <c r="A198" s="6"/>
      <c r="B198" s="16" t="str">
        <f t="shared" ref="B198:B202" si="7">IF(A198="","",TEXT(A198,"mmm/aaaa"))</f>
        <v/>
      </c>
      <c r="C198" s="16"/>
      <c r="D198" s="16"/>
      <c r="E198" s="16"/>
      <c r="F198" s="16"/>
      <c r="G198" s="16"/>
      <c r="H198" s="7"/>
      <c r="I198" s="7"/>
      <c r="J198" s="16"/>
      <c r="K198" s="16"/>
      <c r="L198" s="16"/>
    </row>
    <row r="199" spans="1:12">
      <c r="A199" s="6"/>
      <c r="B199" s="16" t="str">
        <f t="shared" si="7"/>
        <v/>
      </c>
      <c r="C199" s="16"/>
      <c r="D199" s="16"/>
      <c r="E199" s="16"/>
      <c r="F199" s="16"/>
      <c r="G199" s="16"/>
      <c r="H199" s="7"/>
      <c r="I199" s="7"/>
      <c r="J199" s="16"/>
      <c r="K199" s="16"/>
      <c r="L199" s="16"/>
    </row>
    <row r="200" spans="1:12">
      <c r="A200" s="6"/>
      <c r="B200" s="16" t="str">
        <f t="shared" si="7"/>
        <v/>
      </c>
      <c r="C200" s="16"/>
      <c r="D200" s="16"/>
      <c r="E200" s="16"/>
      <c r="F200" s="16"/>
      <c r="G200" s="16"/>
      <c r="H200" s="7"/>
      <c r="I200" s="7"/>
      <c r="J200" s="16"/>
      <c r="K200" s="16"/>
      <c r="L200" s="16"/>
    </row>
    <row r="201" spans="1:12">
      <c r="A201" s="6"/>
      <c r="B201" s="16" t="str">
        <f t="shared" si="7"/>
        <v/>
      </c>
      <c r="C201" s="16"/>
      <c r="D201" s="16"/>
      <c r="E201" s="16"/>
      <c r="F201" s="16"/>
      <c r="G201" s="16"/>
      <c r="H201" s="7"/>
      <c r="I201" s="7"/>
      <c r="J201" s="16"/>
      <c r="K201" s="16"/>
      <c r="L201" s="16"/>
    </row>
    <row r="202" spans="1:12">
      <c r="A202" s="6"/>
      <c r="B202" s="16" t="str">
        <f t="shared" si="7"/>
        <v/>
      </c>
      <c r="C202" s="16"/>
      <c r="D202" s="16"/>
      <c r="E202" s="16"/>
      <c r="F202" s="16"/>
      <c r="G202" s="16"/>
      <c r="H202" s="7"/>
      <c r="I202" s="7"/>
      <c r="J202" s="16"/>
      <c r="K202" s="16"/>
      <c r="L202" s="16"/>
    </row>
  </sheetData>
  <mergeCells count="1">
    <mergeCell ref="A1:L1"/>
  </mergeCells>
  <pageMargins left="0.75" right="0.75" top="1" bottom="1" header="0.5" footer="0.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xr:uid="{00000000-0002-0000-0100-000000000000}">
          <x14:formula1>
            <xm:f>Listas!$A$3:$A$4</xm:f>
          </x14:formula1>
          <xm:sqref>C15:C202</xm:sqref>
        </x14:dataValidation>
        <x14:dataValidation type="list" allowBlank="1" xr:uid="{00000000-0002-0000-0100-000002000000}">
          <x14:formula1>
            <xm:f>Listas!$C$3:$C$8</xm:f>
          </x14:formula1>
          <xm:sqref>F15:F202</xm:sqref>
        </x14:dataValidation>
        <x14:dataValidation type="list" allowBlank="1" xr:uid="{00000000-0002-0000-0100-000003000000}">
          <x14:formula1>
            <xm:f>Listas!$D$3:$D$6</xm:f>
          </x14:formula1>
          <xm:sqref>J15:J202</xm:sqref>
        </x14:dataValidation>
        <x14:dataValidation type="list" allowBlank="1" xr:uid="{00000000-0002-0000-0100-000001000000}">
          <x14:formula1>
            <xm:f>Listas!$B$3:$B$23</xm:f>
          </x14:formula1>
          <xm:sqref>E15:E202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3"/>
  <sheetViews>
    <sheetView showGridLines="0" workbookViewId="0">
      <pane ySplit="3" topLeftCell="A4" activePane="bottomLeft" state="frozen"/>
      <selection pane="bottomLeft" activeCell="A8" sqref="A8"/>
    </sheetView>
  </sheetViews>
  <sheetFormatPr defaultRowHeight="14.45"/>
  <cols>
    <col min="1" max="1" width="24" customWidth="1"/>
    <col min="2" max="2" width="18" customWidth="1"/>
    <col min="3" max="3" width="13" customWidth="1"/>
    <col min="4" max="5" width="16" customWidth="1"/>
    <col min="6" max="6" width="18" customWidth="1"/>
    <col min="7" max="9" width="15" customWidth="1"/>
    <col min="10" max="10" width="28" customWidth="1"/>
  </cols>
  <sheetData>
    <row r="1" spans="1:10" ht="30" customHeight="1">
      <c r="A1" s="18" t="s">
        <v>98</v>
      </c>
      <c r="B1" s="32"/>
      <c r="C1" s="32"/>
      <c r="D1" s="32"/>
      <c r="E1" s="32"/>
      <c r="F1" s="32"/>
      <c r="G1" s="32"/>
      <c r="H1" s="32"/>
      <c r="I1" s="32"/>
      <c r="J1" s="32"/>
    </row>
    <row r="3" spans="1:10">
      <c r="A3" s="17" t="s">
        <v>99</v>
      </c>
      <c r="B3" s="17" t="s">
        <v>14</v>
      </c>
      <c r="C3" s="17" t="s">
        <v>100</v>
      </c>
      <c r="D3" s="17" t="s">
        <v>101</v>
      </c>
      <c r="E3" s="17" t="s">
        <v>102</v>
      </c>
      <c r="F3" s="17" t="s">
        <v>37</v>
      </c>
      <c r="G3" s="17" t="s">
        <v>103</v>
      </c>
      <c r="H3" s="17" t="s">
        <v>41</v>
      </c>
      <c r="I3" s="17" t="s">
        <v>104</v>
      </c>
      <c r="J3" s="17" t="s">
        <v>42</v>
      </c>
    </row>
    <row r="4" spans="1:10">
      <c r="A4" s="16" t="s">
        <v>45</v>
      </c>
      <c r="B4" s="16" t="s">
        <v>15</v>
      </c>
      <c r="C4" s="16">
        <v>12</v>
      </c>
      <c r="D4" s="7">
        <v>1500</v>
      </c>
      <c r="E4" s="7">
        <v>1500</v>
      </c>
      <c r="F4" s="16" t="s">
        <v>59</v>
      </c>
      <c r="G4" s="16" t="s">
        <v>105</v>
      </c>
      <c r="H4" s="16" t="s">
        <v>48</v>
      </c>
      <c r="I4" s="10">
        <v>46246</v>
      </c>
      <c r="J4" s="16"/>
    </row>
    <row r="5" spans="1:10">
      <c r="A5" s="16" t="s">
        <v>106</v>
      </c>
      <c r="B5" s="16" t="s">
        <v>21</v>
      </c>
      <c r="C5" s="16">
        <v>5</v>
      </c>
      <c r="D5" s="7">
        <v>130</v>
      </c>
      <c r="E5" s="7">
        <v>130</v>
      </c>
      <c r="F5" s="16" t="s">
        <v>59</v>
      </c>
      <c r="G5" s="16" t="s">
        <v>105</v>
      </c>
      <c r="H5" s="16" t="s">
        <v>48</v>
      </c>
      <c r="I5" s="10">
        <v>46239</v>
      </c>
      <c r="J5" s="16"/>
    </row>
    <row r="6" spans="1:10">
      <c r="A6" s="16" t="s">
        <v>107</v>
      </c>
      <c r="B6" s="16" t="s">
        <v>15</v>
      </c>
      <c r="C6" s="16">
        <v>14</v>
      </c>
      <c r="D6" s="7">
        <v>340</v>
      </c>
      <c r="E6" s="7">
        <v>303.36</v>
      </c>
      <c r="F6" s="16" t="s">
        <v>66</v>
      </c>
      <c r="G6" s="16" t="s">
        <v>105</v>
      </c>
      <c r="H6" s="16" t="s">
        <v>48</v>
      </c>
      <c r="I6" s="11">
        <v>46248</v>
      </c>
      <c r="J6" s="16"/>
    </row>
    <row r="7" spans="1:10">
      <c r="A7" s="16" t="s">
        <v>108</v>
      </c>
      <c r="B7" s="16" t="s">
        <v>15</v>
      </c>
      <c r="C7" s="16">
        <v>7</v>
      </c>
      <c r="D7" s="7">
        <v>80</v>
      </c>
      <c r="E7" s="7">
        <v>76.19</v>
      </c>
      <c r="F7" s="16" t="s">
        <v>66</v>
      </c>
      <c r="G7" s="16" t="s">
        <v>105</v>
      </c>
      <c r="H7" s="16" t="s">
        <v>48</v>
      </c>
      <c r="I7" s="11">
        <v>46241</v>
      </c>
      <c r="J7" s="16"/>
    </row>
    <row r="8" spans="1:10">
      <c r="A8" s="16" t="s">
        <v>71</v>
      </c>
      <c r="B8" s="16" t="s">
        <v>21</v>
      </c>
      <c r="C8" s="16">
        <v>17</v>
      </c>
      <c r="D8" s="7">
        <v>72.959999999999994</v>
      </c>
      <c r="E8" s="7">
        <v>72.959999999999994</v>
      </c>
      <c r="F8" s="16" t="s">
        <v>66</v>
      </c>
      <c r="G8" s="16" t="s">
        <v>105</v>
      </c>
      <c r="H8" s="16" t="s">
        <v>48</v>
      </c>
      <c r="I8" s="11">
        <v>46251</v>
      </c>
      <c r="J8" s="16"/>
    </row>
    <row r="9" spans="1:10">
      <c r="A9" s="16" t="s">
        <v>109</v>
      </c>
      <c r="B9" s="16" t="s">
        <v>21</v>
      </c>
      <c r="C9" s="16">
        <v>17</v>
      </c>
      <c r="D9" s="7">
        <v>69</v>
      </c>
      <c r="E9" s="7">
        <v>69</v>
      </c>
      <c r="F9" s="16" t="s">
        <v>66</v>
      </c>
      <c r="G9" s="16" t="s">
        <v>105</v>
      </c>
      <c r="H9" s="16" t="s">
        <v>48</v>
      </c>
      <c r="I9" s="11">
        <v>46251</v>
      </c>
      <c r="J9" s="16"/>
    </row>
    <row r="10" spans="1:10">
      <c r="A10" s="16" t="s">
        <v>110</v>
      </c>
      <c r="B10" s="16" t="s">
        <v>18</v>
      </c>
      <c r="C10" s="16">
        <v>22</v>
      </c>
      <c r="D10" s="7">
        <v>167</v>
      </c>
      <c r="E10" s="7">
        <v>167</v>
      </c>
      <c r="F10" s="16" t="s">
        <v>111</v>
      </c>
      <c r="G10" s="16" t="s">
        <v>105</v>
      </c>
      <c r="H10" s="16" t="s">
        <v>48</v>
      </c>
      <c r="I10" s="11">
        <v>46256</v>
      </c>
      <c r="J10" s="16"/>
    </row>
    <row r="11" spans="1:10">
      <c r="A11" s="16" t="s">
        <v>112</v>
      </c>
      <c r="B11" s="16" t="s">
        <v>18</v>
      </c>
      <c r="C11" s="16">
        <v>22</v>
      </c>
      <c r="D11" s="7">
        <v>167</v>
      </c>
      <c r="E11" s="7">
        <v>167</v>
      </c>
      <c r="F11" s="16" t="s">
        <v>111</v>
      </c>
      <c r="G11" s="16" t="s">
        <v>105</v>
      </c>
      <c r="H11" s="16" t="s">
        <v>48</v>
      </c>
      <c r="I11" s="11">
        <v>46256</v>
      </c>
      <c r="J11" s="16"/>
    </row>
    <row r="12" spans="1:10">
      <c r="A12" s="16" t="s">
        <v>25</v>
      </c>
      <c r="B12" s="16" t="s">
        <v>25</v>
      </c>
      <c r="C12" s="16">
        <v>10</v>
      </c>
      <c r="D12" s="7">
        <v>1134.7</v>
      </c>
      <c r="E12" s="7">
        <v>1134.7</v>
      </c>
      <c r="F12" s="16" t="s">
        <v>59</v>
      </c>
      <c r="G12" s="16" t="s">
        <v>105</v>
      </c>
      <c r="H12" s="16" t="s">
        <v>48</v>
      </c>
      <c r="I12" s="11">
        <v>46244</v>
      </c>
      <c r="J12" s="16"/>
    </row>
    <row r="13" spans="1:10">
      <c r="A13" s="16"/>
      <c r="B13" s="16"/>
      <c r="C13" s="16"/>
      <c r="D13" s="7"/>
      <c r="E13" s="7"/>
      <c r="F13" s="16"/>
      <c r="G13" s="16"/>
      <c r="H13" s="16"/>
      <c r="I13" s="16"/>
      <c r="J13" s="16"/>
    </row>
    <row r="14" spans="1:10">
      <c r="A14" s="16"/>
      <c r="B14" s="16"/>
      <c r="C14" s="16"/>
      <c r="D14" s="7"/>
      <c r="E14" s="7"/>
      <c r="F14" s="16"/>
      <c r="G14" s="16"/>
      <c r="H14" s="16"/>
      <c r="I14" s="16"/>
      <c r="J14" s="16"/>
    </row>
    <row r="15" spans="1:10">
      <c r="A15" s="16"/>
      <c r="B15" s="16"/>
      <c r="C15" s="16"/>
      <c r="D15" s="7"/>
      <c r="E15" s="7"/>
      <c r="F15" s="16"/>
      <c r="G15" s="16"/>
      <c r="H15" s="16"/>
      <c r="I15" s="16"/>
      <c r="J15" s="16"/>
    </row>
    <row r="16" spans="1:10">
      <c r="A16" s="16"/>
      <c r="B16" s="16"/>
      <c r="C16" s="16"/>
      <c r="D16" s="7"/>
      <c r="E16" s="7"/>
      <c r="F16" s="16"/>
      <c r="G16" s="16"/>
      <c r="H16" s="16"/>
      <c r="I16" s="16"/>
      <c r="J16" s="16"/>
    </row>
    <row r="17" spans="1:10">
      <c r="A17" s="16"/>
      <c r="B17" s="16"/>
      <c r="C17" s="16"/>
      <c r="D17" s="7"/>
      <c r="E17" s="7"/>
      <c r="F17" s="16"/>
      <c r="G17" s="16"/>
      <c r="H17" s="16"/>
      <c r="I17" s="16"/>
      <c r="J17" s="16"/>
    </row>
    <row r="18" spans="1:10">
      <c r="A18" s="16"/>
      <c r="B18" s="16"/>
      <c r="C18" s="16"/>
      <c r="D18" s="7"/>
      <c r="E18" s="7"/>
      <c r="F18" s="16"/>
      <c r="G18" s="16"/>
      <c r="H18" s="16"/>
      <c r="I18" s="16"/>
      <c r="J18" s="16"/>
    </row>
    <row r="19" spans="1:10">
      <c r="A19" s="16"/>
      <c r="B19" s="16"/>
      <c r="C19" s="16"/>
      <c r="D19" s="7"/>
      <c r="E19" s="7"/>
      <c r="F19" s="16"/>
      <c r="G19" s="16"/>
      <c r="H19" s="16"/>
      <c r="I19" s="16"/>
      <c r="J19" s="16"/>
    </row>
    <row r="20" spans="1:10">
      <c r="A20" s="16"/>
      <c r="B20" s="16"/>
      <c r="C20" s="16"/>
      <c r="D20" s="7"/>
      <c r="E20" s="7"/>
      <c r="F20" s="16"/>
      <c r="G20" s="16"/>
      <c r="H20" s="16"/>
      <c r="I20" s="16"/>
      <c r="J20" s="16"/>
    </row>
    <row r="21" spans="1:10">
      <c r="A21" s="16"/>
      <c r="B21" s="16"/>
      <c r="C21" s="16"/>
      <c r="D21" s="7"/>
      <c r="E21" s="7"/>
      <c r="F21" s="16"/>
      <c r="G21" s="16"/>
      <c r="H21" s="16"/>
      <c r="I21" s="16"/>
      <c r="J21" s="16"/>
    </row>
    <row r="22" spans="1:10">
      <c r="A22" s="16"/>
      <c r="B22" s="16"/>
      <c r="C22" s="16"/>
      <c r="D22" s="7"/>
      <c r="E22" s="7"/>
      <c r="F22" s="16"/>
      <c r="G22" s="16"/>
      <c r="H22" s="16"/>
      <c r="I22" s="16"/>
      <c r="J22" s="16"/>
    </row>
    <row r="23" spans="1:10">
      <c r="A23" s="16"/>
      <c r="B23" s="16"/>
      <c r="C23" s="16"/>
      <c r="D23" s="7"/>
      <c r="E23" s="7"/>
      <c r="F23" s="16"/>
      <c r="G23" s="16"/>
      <c r="H23" s="16"/>
      <c r="I23" s="16"/>
      <c r="J23" s="16"/>
    </row>
    <row r="24" spans="1:10">
      <c r="A24" s="16"/>
      <c r="B24" s="16"/>
      <c r="C24" s="16"/>
      <c r="D24" s="7"/>
      <c r="E24" s="7"/>
      <c r="F24" s="16"/>
      <c r="G24" s="16"/>
      <c r="H24" s="16"/>
      <c r="I24" s="16"/>
      <c r="J24" s="16"/>
    </row>
    <row r="25" spans="1:10">
      <c r="A25" s="16"/>
      <c r="B25" s="16"/>
      <c r="C25" s="16"/>
      <c r="D25" s="7"/>
      <c r="E25" s="7"/>
      <c r="F25" s="16"/>
      <c r="G25" s="16"/>
      <c r="H25" s="16"/>
      <c r="I25" s="16"/>
      <c r="J25" s="16"/>
    </row>
    <row r="26" spans="1:10">
      <c r="A26" s="16"/>
      <c r="B26" s="16"/>
      <c r="C26" s="16"/>
      <c r="D26" s="7"/>
      <c r="E26" s="7"/>
      <c r="F26" s="16"/>
      <c r="G26" s="16"/>
      <c r="H26" s="16"/>
      <c r="I26" s="16"/>
      <c r="J26" s="16"/>
    </row>
    <row r="27" spans="1:10">
      <c r="A27" s="16"/>
      <c r="B27" s="16"/>
      <c r="C27" s="16"/>
      <c r="D27" s="7"/>
      <c r="E27" s="7"/>
      <c r="F27" s="16"/>
      <c r="G27" s="16"/>
      <c r="H27" s="16"/>
      <c r="I27" s="16"/>
      <c r="J27" s="16"/>
    </row>
    <row r="28" spans="1:10">
      <c r="A28" s="16"/>
      <c r="B28" s="16"/>
      <c r="C28" s="16"/>
      <c r="D28" s="7"/>
      <c r="E28" s="7"/>
      <c r="F28" s="16"/>
      <c r="G28" s="16"/>
      <c r="H28" s="16"/>
      <c r="I28" s="16"/>
      <c r="J28" s="16"/>
    </row>
    <row r="29" spans="1:10">
      <c r="A29" s="16"/>
      <c r="B29" s="16"/>
      <c r="C29" s="16"/>
      <c r="D29" s="7"/>
      <c r="E29" s="7"/>
      <c r="F29" s="16"/>
      <c r="G29" s="16"/>
      <c r="H29" s="16"/>
      <c r="I29" s="16"/>
      <c r="J29" s="16"/>
    </row>
    <row r="30" spans="1:10">
      <c r="A30" s="16"/>
      <c r="B30" s="16"/>
      <c r="C30" s="16"/>
      <c r="D30" s="7"/>
      <c r="E30" s="7"/>
      <c r="F30" s="16"/>
      <c r="G30" s="16"/>
      <c r="H30" s="16"/>
      <c r="I30" s="16"/>
      <c r="J30" s="16"/>
    </row>
    <row r="31" spans="1:10">
      <c r="A31" s="16"/>
      <c r="B31" s="16"/>
      <c r="C31" s="16"/>
      <c r="D31" s="7"/>
      <c r="E31" s="7"/>
      <c r="F31" s="16"/>
      <c r="G31" s="16"/>
      <c r="H31" s="16"/>
      <c r="I31" s="16"/>
      <c r="J31" s="16"/>
    </row>
    <row r="32" spans="1:10">
      <c r="A32" s="16"/>
      <c r="B32" s="16"/>
      <c r="C32" s="16"/>
      <c r="D32" s="7"/>
      <c r="E32" s="7"/>
      <c r="F32" s="16"/>
      <c r="G32" s="16"/>
      <c r="H32" s="16"/>
      <c r="I32" s="16"/>
      <c r="J32" s="16"/>
    </row>
    <row r="33" spans="1:10">
      <c r="A33" s="16"/>
      <c r="B33" s="16"/>
      <c r="C33" s="16"/>
      <c r="D33" s="7"/>
      <c r="E33" s="7"/>
      <c r="F33" s="16"/>
      <c r="G33" s="16"/>
      <c r="H33" s="16"/>
      <c r="I33" s="16"/>
      <c r="J33" s="16"/>
    </row>
    <row r="34" spans="1:10">
      <c r="A34" s="16"/>
      <c r="B34" s="16"/>
      <c r="C34" s="16"/>
      <c r="D34" s="7"/>
      <c r="E34" s="7"/>
      <c r="F34" s="16"/>
      <c r="G34" s="16"/>
      <c r="H34" s="16"/>
      <c r="I34" s="16"/>
      <c r="J34" s="16"/>
    </row>
    <row r="35" spans="1:10">
      <c r="A35" s="16"/>
      <c r="B35" s="16"/>
      <c r="C35" s="16"/>
      <c r="D35" s="7"/>
      <c r="E35" s="7"/>
      <c r="F35" s="16"/>
      <c r="G35" s="16"/>
      <c r="H35" s="16"/>
      <c r="I35" s="16"/>
      <c r="J35" s="16"/>
    </row>
    <row r="36" spans="1:10">
      <c r="A36" s="16"/>
      <c r="B36" s="16"/>
      <c r="C36" s="16"/>
      <c r="D36" s="7"/>
      <c r="E36" s="7"/>
      <c r="F36" s="16"/>
      <c r="G36" s="16"/>
      <c r="H36" s="16"/>
      <c r="I36" s="16"/>
      <c r="J36" s="16"/>
    </row>
    <row r="37" spans="1:10">
      <c r="A37" s="16"/>
      <c r="B37" s="16"/>
      <c r="C37" s="16"/>
      <c r="D37" s="7"/>
      <c r="E37" s="7"/>
      <c r="F37" s="16"/>
      <c r="G37" s="16"/>
      <c r="H37" s="16"/>
      <c r="I37" s="16"/>
      <c r="J37" s="16"/>
    </row>
    <row r="38" spans="1:10">
      <c r="A38" s="16"/>
      <c r="B38" s="16"/>
      <c r="C38" s="16"/>
      <c r="D38" s="7"/>
      <c r="E38" s="7"/>
      <c r="F38" s="16"/>
      <c r="G38" s="16"/>
      <c r="H38" s="16"/>
      <c r="I38" s="16"/>
      <c r="J38" s="16"/>
    </row>
    <row r="39" spans="1:10">
      <c r="A39" s="16"/>
      <c r="B39" s="16"/>
      <c r="C39" s="16"/>
      <c r="D39" s="7"/>
      <c r="E39" s="7"/>
      <c r="F39" s="16"/>
      <c r="G39" s="16"/>
      <c r="H39" s="16"/>
      <c r="I39" s="16"/>
      <c r="J39" s="16"/>
    </row>
    <row r="40" spans="1:10">
      <c r="A40" s="16"/>
      <c r="B40" s="16"/>
      <c r="C40" s="16"/>
      <c r="D40" s="7"/>
      <c r="E40" s="7"/>
      <c r="F40" s="16"/>
      <c r="G40" s="16"/>
      <c r="H40" s="16"/>
      <c r="I40" s="16"/>
      <c r="J40" s="16"/>
    </row>
    <row r="41" spans="1:10">
      <c r="A41" s="16"/>
      <c r="B41" s="16"/>
      <c r="C41" s="16"/>
      <c r="D41" s="7"/>
      <c r="E41" s="7"/>
      <c r="F41" s="16"/>
      <c r="G41" s="16"/>
      <c r="H41" s="16"/>
      <c r="I41" s="16"/>
      <c r="J41" s="16"/>
    </row>
    <row r="42" spans="1:10">
      <c r="A42" s="16"/>
      <c r="B42" s="16"/>
      <c r="C42" s="16"/>
      <c r="D42" s="7"/>
      <c r="E42" s="7"/>
      <c r="F42" s="16"/>
      <c r="G42" s="16"/>
      <c r="H42" s="16"/>
      <c r="I42" s="16"/>
      <c r="J42" s="16"/>
    </row>
    <row r="43" spans="1:10">
      <c r="A43" s="16"/>
      <c r="B43" s="16"/>
      <c r="C43" s="16"/>
      <c r="D43" s="7"/>
      <c r="E43" s="7"/>
      <c r="F43" s="16"/>
      <c r="G43" s="16"/>
      <c r="H43" s="16"/>
      <c r="I43" s="16"/>
      <c r="J43" s="16"/>
    </row>
    <row r="44" spans="1:10">
      <c r="A44" s="16"/>
      <c r="B44" s="16"/>
      <c r="C44" s="16"/>
      <c r="D44" s="7"/>
      <c r="E44" s="7"/>
      <c r="F44" s="16"/>
      <c r="G44" s="16"/>
      <c r="H44" s="16"/>
      <c r="I44" s="16"/>
      <c r="J44" s="16"/>
    </row>
    <row r="45" spans="1:10">
      <c r="A45" s="16"/>
      <c r="B45" s="16"/>
      <c r="C45" s="16"/>
      <c r="D45" s="7"/>
      <c r="E45" s="7"/>
      <c r="F45" s="16"/>
      <c r="G45" s="16"/>
      <c r="H45" s="16"/>
      <c r="I45" s="16"/>
      <c r="J45" s="16"/>
    </row>
    <row r="46" spans="1:10">
      <c r="A46" s="16"/>
      <c r="B46" s="16"/>
      <c r="C46" s="16"/>
      <c r="D46" s="7"/>
      <c r="E46" s="7"/>
      <c r="F46" s="16"/>
      <c r="G46" s="16"/>
      <c r="H46" s="16"/>
      <c r="I46" s="16"/>
      <c r="J46" s="16"/>
    </row>
    <row r="47" spans="1:10">
      <c r="A47" s="16"/>
      <c r="B47" s="16"/>
      <c r="C47" s="16"/>
      <c r="D47" s="7"/>
      <c r="E47" s="7"/>
      <c r="F47" s="16"/>
      <c r="G47" s="16"/>
      <c r="H47" s="16"/>
      <c r="I47" s="16"/>
      <c r="J47" s="16"/>
    </row>
    <row r="48" spans="1:10">
      <c r="A48" s="16"/>
      <c r="B48" s="16"/>
      <c r="C48" s="16"/>
      <c r="D48" s="7"/>
      <c r="E48" s="7"/>
      <c r="F48" s="16"/>
      <c r="G48" s="16"/>
      <c r="H48" s="16"/>
      <c r="I48" s="16"/>
      <c r="J48" s="16"/>
    </row>
    <row r="49" spans="1:10">
      <c r="A49" s="16"/>
      <c r="B49" s="16"/>
      <c r="C49" s="16"/>
      <c r="D49" s="7"/>
      <c r="E49" s="7"/>
      <c r="F49" s="16"/>
      <c r="G49" s="16"/>
      <c r="H49" s="16"/>
      <c r="I49" s="16"/>
      <c r="J49" s="16"/>
    </row>
    <row r="50" spans="1:10">
      <c r="A50" s="16"/>
      <c r="B50" s="16"/>
      <c r="C50" s="16"/>
      <c r="D50" s="7"/>
      <c r="E50" s="7"/>
      <c r="F50" s="16"/>
      <c r="G50" s="16"/>
      <c r="H50" s="16"/>
      <c r="I50" s="16"/>
      <c r="J50" s="16"/>
    </row>
    <row r="51" spans="1:10">
      <c r="A51" s="16"/>
      <c r="B51" s="16"/>
      <c r="C51" s="16"/>
      <c r="D51" s="7"/>
      <c r="E51" s="7"/>
      <c r="F51" s="16"/>
      <c r="G51" s="16"/>
      <c r="H51" s="16"/>
      <c r="I51" s="16"/>
      <c r="J51" s="16"/>
    </row>
    <row r="52" spans="1:10">
      <c r="A52" s="16"/>
      <c r="B52" s="16"/>
      <c r="C52" s="16"/>
      <c r="D52" s="7"/>
      <c r="E52" s="7"/>
      <c r="F52" s="16"/>
      <c r="G52" s="16"/>
      <c r="H52" s="16"/>
      <c r="I52" s="16"/>
      <c r="J52" s="16"/>
    </row>
    <row r="53" spans="1:10">
      <c r="A53" s="16"/>
      <c r="B53" s="16"/>
      <c r="C53" s="16"/>
      <c r="D53" s="7"/>
      <c r="E53" s="7"/>
      <c r="F53" s="16"/>
      <c r="G53" s="16"/>
      <c r="H53" s="16"/>
      <c r="I53" s="16"/>
      <c r="J53" s="16"/>
    </row>
    <row r="54" spans="1:10">
      <c r="A54" s="16"/>
      <c r="B54" s="16"/>
      <c r="C54" s="16"/>
      <c r="D54" s="7"/>
      <c r="E54" s="7"/>
      <c r="F54" s="16"/>
      <c r="G54" s="16"/>
      <c r="H54" s="16"/>
      <c r="I54" s="16"/>
      <c r="J54" s="16"/>
    </row>
    <row r="55" spans="1:10">
      <c r="A55" s="16"/>
      <c r="B55" s="16"/>
      <c r="C55" s="16"/>
      <c r="D55" s="7"/>
      <c r="E55" s="7"/>
      <c r="F55" s="16"/>
      <c r="G55" s="16"/>
      <c r="H55" s="16"/>
      <c r="I55" s="16"/>
      <c r="J55" s="16"/>
    </row>
    <row r="56" spans="1:10">
      <c r="A56" s="16"/>
      <c r="B56" s="16"/>
      <c r="C56" s="16"/>
      <c r="D56" s="7"/>
      <c r="E56" s="7"/>
      <c r="F56" s="16"/>
      <c r="G56" s="16"/>
      <c r="H56" s="16"/>
      <c r="I56" s="16"/>
      <c r="J56" s="16"/>
    </row>
    <row r="57" spans="1:10">
      <c r="A57" s="16"/>
      <c r="B57" s="16"/>
      <c r="C57" s="16"/>
      <c r="D57" s="7"/>
      <c r="E57" s="7"/>
      <c r="F57" s="16"/>
      <c r="G57" s="16"/>
      <c r="H57" s="16"/>
      <c r="I57" s="16"/>
      <c r="J57" s="16"/>
    </row>
    <row r="58" spans="1:10">
      <c r="A58" s="16"/>
      <c r="B58" s="16"/>
      <c r="C58" s="16"/>
      <c r="D58" s="7"/>
      <c r="E58" s="7"/>
      <c r="F58" s="16"/>
      <c r="G58" s="16"/>
      <c r="H58" s="16"/>
      <c r="I58" s="16"/>
      <c r="J58" s="16"/>
    </row>
    <row r="59" spans="1:10">
      <c r="A59" s="16"/>
      <c r="B59" s="16"/>
      <c r="C59" s="16"/>
      <c r="D59" s="7"/>
      <c r="E59" s="7"/>
      <c r="F59" s="16"/>
      <c r="G59" s="16"/>
      <c r="H59" s="16"/>
      <c r="I59" s="16"/>
      <c r="J59" s="16"/>
    </row>
    <row r="60" spans="1:10">
      <c r="A60" s="16"/>
      <c r="B60" s="16"/>
      <c r="C60" s="16"/>
      <c r="D60" s="7"/>
      <c r="E60" s="7"/>
      <c r="F60" s="16"/>
      <c r="G60" s="16"/>
      <c r="H60" s="16"/>
      <c r="I60" s="16"/>
      <c r="J60" s="16"/>
    </row>
    <row r="61" spans="1:10">
      <c r="A61" s="16"/>
      <c r="B61" s="16"/>
      <c r="C61" s="16"/>
      <c r="D61" s="7"/>
      <c r="E61" s="7"/>
      <c r="F61" s="16"/>
      <c r="G61" s="16"/>
      <c r="H61" s="16"/>
      <c r="I61" s="16"/>
      <c r="J61" s="16"/>
    </row>
    <row r="62" spans="1:10">
      <c r="A62" s="16"/>
      <c r="B62" s="16"/>
      <c r="C62" s="16"/>
      <c r="D62" s="7"/>
      <c r="E62" s="7"/>
      <c r="F62" s="16"/>
      <c r="G62" s="16"/>
      <c r="H62" s="16"/>
      <c r="I62" s="16"/>
      <c r="J62" s="16"/>
    </row>
    <row r="63" spans="1:10">
      <c r="A63" s="16"/>
      <c r="B63" s="16"/>
      <c r="C63" s="16"/>
      <c r="D63" s="7"/>
      <c r="E63" s="7"/>
      <c r="F63" s="16"/>
      <c r="G63" s="16"/>
      <c r="H63" s="16"/>
      <c r="I63" s="16"/>
      <c r="J63" s="16"/>
    </row>
    <row r="64" spans="1:10">
      <c r="A64" s="16"/>
      <c r="B64" s="16"/>
      <c r="C64" s="16"/>
      <c r="D64" s="7"/>
      <c r="E64" s="7"/>
      <c r="F64" s="16"/>
      <c r="G64" s="16"/>
      <c r="H64" s="16"/>
      <c r="I64" s="16"/>
      <c r="J64" s="16"/>
    </row>
    <row r="65" spans="1:10">
      <c r="A65" s="16"/>
      <c r="B65" s="16"/>
      <c r="C65" s="16"/>
      <c r="D65" s="7"/>
      <c r="E65" s="7"/>
      <c r="F65" s="16"/>
      <c r="G65" s="16"/>
      <c r="H65" s="16"/>
      <c r="I65" s="16"/>
      <c r="J65" s="16"/>
    </row>
    <row r="66" spans="1:10">
      <c r="A66" s="16"/>
      <c r="B66" s="16"/>
      <c r="C66" s="16"/>
      <c r="D66" s="7"/>
      <c r="E66" s="7"/>
      <c r="F66" s="16"/>
      <c r="G66" s="16"/>
      <c r="H66" s="16"/>
      <c r="I66" s="16"/>
      <c r="J66" s="16"/>
    </row>
    <row r="67" spans="1:10">
      <c r="A67" s="16"/>
      <c r="B67" s="16"/>
      <c r="C67" s="16"/>
      <c r="D67" s="7"/>
      <c r="E67" s="7"/>
      <c r="F67" s="16"/>
      <c r="G67" s="16"/>
      <c r="H67" s="16"/>
      <c r="I67" s="16"/>
      <c r="J67" s="16"/>
    </row>
    <row r="68" spans="1:10">
      <c r="A68" s="16"/>
      <c r="B68" s="16"/>
      <c r="C68" s="16"/>
      <c r="D68" s="7"/>
      <c r="E68" s="7"/>
      <c r="F68" s="16"/>
      <c r="G68" s="16"/>
      <c r="H68" s="16"/>
      <c r="I68" s="16"/>
      <c r="J68" s="16"/>
    </row>
    <row r="69" spans="1:10">
      <c r="A69" s="16"/>
      <c r="B69" s="16"/>
      <c r="C69" s="16"/>
      <c r="D69" s="7"/>
      <c r="E69" s="7"/>
      <c r="F69" s="16"/>
      <c r="G69" s="16"/>
      <c r="H69" s="16"/>
      <c r="I69" s="16"/>
      <c r="J69" s="16"/>
    </row>
    <row r="70" spans="1:10">
      <c r="A70" s="16"/>
      <c r="B70" s="16"/>
      <c r="C70" s="16"/>
      <c r="D70" s="7"/>
      <c r="E70" s="7"/>
      <c r="F70" s="16"/>
      <c r="G70" s="16"/>
      <c r="H70" s="16"/>
      <c r="I70" s="16"/>
      <c r="J70" s="16"/>
    </row>
    <row r="71" spans="1:10">
      <c r="A71" s="16"/>
      <c r="B71" s="16"/>
      <c r="C71" s="16"/>
      <c r="D71" s="7"/>
      <c r="E71" s="7"/>
      <c r="F71" s="16"/>
      <c r="G71" s="16"/>
      <c r="H71" s="16"/>
      <c r="I71" s="16"/>
      <c r="J71" s="16"/>
    </row>
    <row r="72" spans="1:10">
      <c r="A72" s="16"/>
      <c r="B72" s="16"/>
      <c r="C72" s="16"/>
      <c r="D72" s="7"/>
      <c r="E72" s="7"/>
      <c r="F72" s="16"/>
      <c r="G72" s="16"/>
      <c r="H72" s="16"/>
      <c r="I72" s="16"/>
      <c r="J72" s="16"/>
    </row>
    <row r="73" spans="1:10">
      <c r="A73" s="16"/>
      <c r="B73" s="16"/>
      <c r="C73" s="16"/>
      <c r="D73" s="7"/>
      <c r="E73" s="7"/>
      <c r="F73" s="16"/>
      <c r="G73" s="16"/>
      <c r="H73" s="16"/>
      <c r="I73" s="16"/>
      <c r="J73" s="16"/>
    </row>
    <row r="74" spans="1:10">
      <c r="A74" s="16"/>
      <c r="B74" s="16"/>
      <c r="C74" s="16"/>
      <c r="D74" s="7"/>
      <c r="E74" s="7"/>
      <c r="F74" s="16"/>
      <c r="G74" s="16"/>
      <c r="H74" s="16"/>
      <c r="I74" s="16"/>
      <c r="J74" s="16"/>
    </row>
    <row r="75" spans="1:10">
      <c r="A75" s="16"/>
      <c r="B75" s="16"/>
      <c r="C75" s="16"/>
      <c r="D75" s="7"/>
      <c r="E75" s="7"/>
      <c r="F75" s="16"/>
      <c r="G75" s="16"/>
      <c r="H75" s="16"/>
      <c r="I75" s="16"/>
      <c r="J75" s="16"/>
    </row>
    <row r="76" spans="1:10">
      <c r="A76" s="16"/>
      <c r="B76" s="16"/>
      <c r="C76" s="16"/>
      <c r="D76" s="7"/>
      <c r="E76" s="7"/>
      <c r="F76" s="16"/>
      <c r="G76" s="16"/>
      <c r="H76" s="16"/>
      <c r="I76" s="16"/>
      <c r="J76" s="16"/>
    </row>
    <row r="77" spans="1:10">
      <c r="A77" s="16"/>
      <c r="B77" s="16"/>
      <c r="C77" s="16"/>
      <c r="D77" s="7"/>
      <c r="E77" s="7"/>
      <c r="F77" s="16"/>
      <c r="G77" s="16"/>
      <c r="H77" s="16"/>
      <c r="I77" s="16"/>
      <c r="J77" s="16"/>
    </row>
    <row r="78" spans="1:10">
      <c r="A78" s="16"/>
      <c r="B78" s="16"/>
      <c r="C78" s="16"/>
      <c r="D78" s="7"/>
      <c r="E78" s="7"/>
      <c r="F78" s="16"/>
      <c r="G78" s="16"/>
      <c r="H78" s="16"/>
      <c r="I78" s="16"/>
      <c r="J78" s="16"/>
    </row>
    <row r="79" spans="1:10">
      <c r="A79" s="16"/>
      <c r="B79" s="16"/>
      <c r="C79" s="16"/>
      <c r="D79" s="7"/>
      <c r="E79" s="7"/>
      <c r="F79" s="16"/>
      <c r="G79" s="16"/>
      <c r="H79" s="16"/>
      <c r="I79" s="16"/>
      <c r="J79" s="16"/>
    </row>
    <row r="80" spans="1:10">
      <c r="A80" s="16"/>
      <c r="B80" s="16"/>
      <c r="C80" s="16"/>
      <c r="D80" s="7"/>
      <c r="E80" s="7"/>
      <c r="F80" s="16"/>
      <c r="G80" s="16"/>
      <c r="H80" s="16"/>
      <c r="I80" s="16"/>
      <c r="J80" s="16"/>
    </row>
    <row r="81" spans="1:10">
      <c r="A81" s="16"/>
      <c r="B81" s="16"/>
      <c r="C81" s="16"/>
      <c r="D81" s="7"/>
      <c r="E81" s="7"/>
      <c r="F81" s="16"/>
      <c r="G81" s="16"/>
      <c r="H81" s="16"/>
      <c r="I81" s="16"/>
      <c r="J81" s="16"/>
    </row>
    <row r="82" spans="1:10">
      <c r="A82" s="16"/>
      <c r="B82" s="16"/>
      <c r="C82" s="16"/>
      <c r="D82" s="7"/>
      <c r="E82" s="7"/>
      <c r="F82" s="16"/>
      <c r="G82" s="16"/>
      <c r="H82" s="16"/>
      <c r="I82" s="16"/>
      <c r="J82" s="16"/>
    </row>
    <row r="83" spans="1:10">
      <c r="A83" s="16"/>
      <c r="B83" s="16"/>
      <c r="C83" s="16"/>
      <c r="D83" s="7"/>
      <c r="E83" s="7"/>
      <c r="F83" s="16"/>
      <c r="G83" s="16"/>
      <c r="H83" s="16"/>
      <c r="I83" s="16"/>
      <c r="J83" s="16"/>
    </row>
    <row r="84" spans="1:10">
      <c r="A84" s="16"/>
      <c r="B84" s="16"/>
      <c r="C84" s="16"/>
      <c r="D84" s="7"/>
      <c r="E84" s="7"/>
      <c r="F84" s="16"/>
      <c r="G84" s="16"/>
      <c r="H84" s="16"/>
      <c r="I84" s="16"/>
      <c r="J84" s="16"/>
    </row>
    <row r="85" spans="1:10">
      <c r="A85" s="16"/>
      <c r="B85" s="16"/>
      <c r="C85" s="16"/>
      <c r="D85" s="7"/>
      <c r="E85" s="7"/>
      <c r="F85" s="16"/>
      <c r="G85" s="16"/>
      <c r="H85" s="16"/>
      <c r="I85" s="16"/>
      <c r="J85" s="16"/>
    </row>
    <row r="86" spans="1:10">
      <c r="A86" s="16"/>
      <c r="B86" s="16"/>
      <c r="C86" s="16"/>
      <c r="D86" s="7"/>
      <c r="E86" s="7"/>
      <c r="F86" s="16"/>
      <c r="G86" s="16"/>
      <c r="H86" s="16"/>
      <c r="I86" s="16"/>
      <c r="J86" s="16"/>
    </row>
    <row r="87" spans="1:10">
      <c r="A87" s="16"/>
      <c r="B87" s="16"/>
      <c r="C87" s="16"/>
      <c r="D87" s="7"/>
      <c r="E87" s="7"/>
      <c r="F87" s="16"/>
      <c r="G87" s="16"/>
      <c r="H87" s="16"/>
      <c r="I87" s="16"/>
      <c r="J87" s="16"/>
    </row>
    <row r="88" spans="1:10">
      <c r="A88" s="16"/>
      <c r="B88" s="16"/>
      <c r="C88" s="16"/>
      <c r="D88" s="7"/>
      <c r="E88" s="7"/>
      <c r="F88" s="16"/>
      <c r="G88" s="16"/>
      <c r="H88" s="16"/>
      <c r="I88" s="16"/>
      <c r="J88" s="16"/>
    </row>
    <row r="89" spans="1:10">
      <c r="A89" s="16"/>
      <c r="B89" s="16"/>
      <c r="C89" s="16"/>
      <c r="D89" s="7"/>
      <c r="E89" s="7"/>
      <c r="F89" s="16"/>
      <c r="G89" s="16"/>
      <c r="H89" s="16"/>
      <c r="I89" s="16"/>
      <c r="J89" s="16"/>
    </row>
    <row r="90" spans="1:10">
      <c r="A90" s="16"/>
      <c r="B90" s="16"/>
      <c r="C90" s="16"/>
      <c r="D90" s="7"/>
      <c r="E90" s="7"/>
      <c r="F90" s="16"/>
      <c r="G90" s="16"/>
      <c r="H90" s="16"/>
      <c r="I90" s="16"/>
      <c r="J90" s="16"/>
    </row>
    <row r="91" spans="1:10">
      <c r="A91" s="16"/>
      <c r="B91" s="16"/>
      <c r="C91" s="16"/>
      <c r="D91" s="7"/>
      <c r="E91" s="7"/>
      <c r="F91" s="16"/>
      <c r="G91" s="16"/>
      <c r="H91" s="16"/>
      <c r="I91" s="16"/>
      <c r="J91" s="16"/>
    </row>
    <row r="92" spans="1:10">
      <c r="A92" s="16"/>
      <c r="B92" s="16"/>
      <c r="C92" s="16"/>
      <c r="D92" s="7"/>
      <c r="E92" s="7"/>
      <c r="F92" s="16"/>
      <c r="G92" s="16"/>
      <c r="H92" s="16"/>
      <c r="I92" s="16"/>
      <c r="J92" s="16"/>
    </row>
    <row r="93" spans="1:10">
      <c r="A93" s="16"/>
      <c r="B93" s="16"/>
      <c r="C93" s="16"/>
      <c r="D93" s="7"/>
      <c r="E93" s="7"/>
      <c r="F93" s="16"/>
      <c r="G93" s="16"/>
      <c r="H93" s="16"/>
      <c r="I93" s="16"/>
      <c r="J93" s="16"/>
    </row>
    <row r="94" spans="1:10">
      <c r="A94" s="16"/>
      <c r="B94" s="16"/>
      <c r="C94" s="16"/>
      <c r="D94" s="7"/>
      <c r="E94" s="7"/>
      <c r="F94" s="16"/>
      <c r="G94" s="16"/>
      <c r="H94" s="16"/>
      <c r="I94" s="16"/>
      <c r="J94" s="16"/>
    </row>
    <row r="95" spans="1:10">
      <c r="A95" s="16"/>
      <c r="B95" s="16"/>
      <c r="C95" s="16"/>
      <c r="D95" s="7"/>
      <c r="E95" s="7"/>
      <c r="F95" s="16"/>
      <c r="G95" s="16"/>
      <c r="H95" s="16"/>
      <c r="I95" s="16"/>
      <c r="J95" s="16"/>
    </row>
    <row r="96" spans="1:10">
      <c r="A96" s="16"/>
      <c r="B96" s="16"/>
      <c r="C96" s="16"/>
      <c r="D96" s="7"/>
      <c r="E96" s="7"/>
      <c r="F96" s="16"/>
      <c r="G96" s="16"/>
      <c r="H96" s="16"/>
      <c r="I96" s="16"/>
      <c r="J96" s="16"/>
    </row>
    <row r="97" spans="1:10">
      <c r="A97" s="16"/>
      <c r="B97" s="16"/>
      <c r="C97" s="16"/>
      <c r="D97" s="7"/>
      <c r="E97" s="7"/>
      <c r="F97" s="16"/>
      <c r="G97" s="16"/>
      <c r="H97" s="16"/>
      <c r="I97" s="16"/>
      <c r="J97" s="16"/>
    </row>
    <row r="98" spans="1:10">
      <c r="A98" s="16"/>
      <c r="B98" s="16"/>
      <c r="C98" s="16"/>
      <c r="D98" s="7"/>
      <c r="E98" s="7"/>
      <c r="F98" s="16"/>
      <c r="G98" s="16"/>
      <c r="H98" s="16"/>
      <c r="I98" s="16"/>
      <c r="J98" s="16"/>
    </row>
    <row r="99" spans="1:10">
      <c r="A99" s="16"/>
      <c r="B99" s="16"/>
      <c r="C99" s="16"/>
      <c r="D99" s="7"/>
      <c r="E99" s="7"/>
      <c r="F99" s="16"/>
      <c r="G99" s="16"/>
      <c r="H99" s="16"/>
      <c r="I99" s="16"/>
      <c r="J99" s="16"/>
    </row>
    <row r="100" spans="1:10">
      <c r="A100" s="16"/>
      <c r="B100" s="16"/>
      <c r="C100" s="16"/>
      <c r="D100" s="7"/>
      <c r="E100" s="7"/>
      <c r="F100" s="16"/>
      <c r="G100" s="16"/>
      <c r="H100" s="16"/>
      <c r="I100" s="16"/>
      <c r="J100" s="16"/>
    </row>
    <row r="101" spans="1:10">
      <c r="A101" s="16"/>
      <c r="B101" s="16"/>
      <c r="C101" s="16"/>
      <c r="D101" s="7"/>
      <c r="E101" s="7"/>
      <c r="F101" s="16"/>
      <c r="G101" s="16"/>
      <c r="H101" s="16"/>
      <c r="I101" s="16"/>
      <c r="J101" s="16"/>
    </row>
    <row r="102" spans="1:10">
      <c r="A102" s="16"/>
      <c r="B102" s="16"/>
      <c r="C102" s="16"/>
      <c r="D102" s="7"/>
      <c r="E102" s="7"/>
      <c r="F102" s="16"/>
      <c r="G102" s="16"/>
      <c r="H102" s="16"/>
      <c r="I102" s="16"/>
      <c r="J102" s="16"/>
    </row>
    <row r="103" spans="1:10">
      <c r="A103" s="16"/>
      <c r="B103" s="16"/>
      <c r="C103" s="16"/>
      <c r="D103" s="7"/>
      <c r="E103" s="7"/>
      <c r="F103" s="16"/>
      <c r="G103" s="16"/>
      <c r="H103" s="16"/>
      <c r="I103" s="16"/>
      <c r="J103" s="16"/>
    </row>
  </sheetData>
  <mergeCells count="1">
    <mergeCell ref="A1:J1"/>
  </mergeCells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3"/>
  <sheetViews>
    <sheetView showGridLines="0" workbookViewId="0">
      <pane ySplit="3" topLeftCell="A4" activePane="bottomLeft" state="frozen"/>
      <selection pane="bottomLeft" activeCell="A9" sqref="A9"/>
    </sheetView>
  </sheetViews>
  <sheetFormatPr defaultRowHeight="14.45"/>
  <cols>
    <col min="1" max="1" width="24" customWidth="1"/>
    <col min="2" max="2" width="20" customWidth="1"/>
    <col min="3" max="3" width="15" customWidth="1"/>
    <col min="4" max="5" width="18" customWidth="1"/>
    <col min="6" max="6" width="16" customWidth="1"/>
    <col min="7" max="7" width="18" customWidth="1"/>
    <col min="8" max="9" width="15" customWidth="1"/>
    <col min="10" max="10" width="28" customWidth="1"/>
  </cols>
  <sheetData>
    <row r="1" spans="1:10" ht="30" customHeight="1">
      <c r="A1" s="18" t="s">
        <v>113</v>
      </c>
      <c r="B1" s="32"/>
      <c r="C1" s="32"/>
      <c r="D1" s="32"/>
      <c r="E1" s="32"/>
      <c r="F1" s="32"/>
      <c r="G1" s="32"/>
      <c r="H1" s="32"/>
      <c r="I1" s="32"/>
      <c r="J1" s="32"/>
    </row>
    <row r="3" spans="1:10">
      <c r="A3" s="17" t="s">
        <v>77</v>
      </c>
      <c r="B3" s="17" t="s">
        <v>114</v>
      </c>
      <c r="C3" s="17" t="s">
        <v>115</v>
      </c>
      <c r="D3" s="17" t="s">
        <v>116</v>
      </c>
      <c r="E3" s="17" t="s">
        <v>117</v>
      </c>
      <c r="F3" s="17" t="s">
        <v>118</v>
      </c>
      <c r="G3" s="17" t="s">
        <v>119</v>
      </c>
      <c r="H3" s="17" t="s">
        <v>120</v>
      </c>
      <c r="I3" s="17" t="s">
        <v>41</v>
      </c>
      <c r="J3" s="17" t="s">
        <v>42</v>
      </c>
    </row>
    <row r="4" spans="1:10">
      <c r="A4" s="16" t="s">
        <v>121</v>
      </c>
      <c r="B4" s="16" t="s">
        <v>47</v>
      </c>
      <c r="C4" s="7">
        <v>23593</v>
      </c>
      <c r="D4" s="7">
        <v>21737.85</v>
      </c>
      <c r="E4" s="7">
        <f t="shared" ref="E4:E35" si="0">IF(C4="","",C4-D4)</f>
        <v>1855.1500000000015</v>
      </c>
      <c r="F4" s="16">
        <v>12</v>
      </c>
      <c r="G4" s="16">
        <v>22</v>
      </c>
      <c r="H4" s="7">
        <v>3921.44</v>
      </c>
      <c r="I4" s="16" t="s">
        <v>122</v>
      </c>
      <c r="J4" s="16"/>
    </row>
    <row r="5" spans="1:10">
      <c r="A5" s="16" t="s">
        <v>123</v>
      </c>
      <c r="B5" s="16" t="s">
        <v>124</v>
      </c>
      <c r="C5" s="7">
        <v>1628.33</v>
      </c>
      <c r="D5" s="7">
        <v>1628.33</v>
      </c>
      <c r="E5" s="7">
        <f t="shared" si="0"/>
        <v>0</v>
      </c>
      <c r="F5" s="16">
        <v>10</v>
      </c>
      <c r="G5" s="16">
        <v>13</v>
      </c>
      <c r="H5" s="7">
        <v>1628.33</v>
      </c>
      <c r="I5" s="16" t="s">
        <v>122</v>
      </c>
      <c r="J5" s="16"/>
    </row>
    <row r="6" spans="1:10">
      <c r="A6" s="16" t="s">
        <v>125</v>
      </c>
      <c r="B6" s="16" t="s">
        <v>126</v>
      </c>
      <c r="C6" s="7"/>
      <c r="D6" s="7"/>
      <c r="E6" s="7" t="str">
        <f t="shared" si="0"/>
        <v/>
      </c>
      <c r="F6" s="16"/>
      <c r="G6" s="16"/>
      <c r="H6" s="7"/>
      <c r="I6" s="16"/>
      <c r="J6" s="16"/>
    </row>
    <row r="7" spans="1:10">
      <c r="A7" s="16"/>
      <c r="B7" s="16"/>
      <c r="C7" s="7"/>
      <c r="D7" s="7"/>
      <c r="E7" s="7" t="str">
        <f t="shared" si="0"/>
        <v/>
      </c>
      <c r="F7" s="16"/>
      <c r="G7" s="16"/>
      <c r="H7" s="7"/>
      <c r="I7" s="16"/>
      <c r="J7" s="16"/>
    </row>
    <row r="8" spans="1:10">
      <c r="A8" s="16"/>
      <c r="B8" s="16"/>
      <c r="C8" s="7"/>
      <c r="D8" s="7"/>
      <c r="E8" s="7" t="str">
        <f t="shared" si="0"/>
        <v/>
      </c>
      <c r="F8" s="16"/>
      <c r="G8" s="16"/>
      <c r="H8" s="7"/>
      <c r="I8" s="16"/>
      <c r="J8" s="16"/>
    </row>
    <row r="9" spans="1:10">
      <c r="A9" s="16"/>
      <c r="B9" s="16"/>
      <c r="C9" s="7"/>
      <c r="D9" s="7"/>
      <c r="E9" s="7" t="str">
        <f t="shared" si="0"/>
        <v/>
      </c>
      <c r="F9" s="16"/>
      <c r="G9" s="16"/>
      <c r="H9" s="7"/>
      <c r="I9" s="16"/>
      <c r="J9" s="16"/>
    </row>
    <row r="10" spans="1:10">
      <c r="A10" s="16"/>
      <c r="B10" s="16"/>
      <c r="C10" s="7"/>
      <c r="D10" s="7"/>
      <c r="E10" s="7" t="str">
        <f t="shared" si="0"/>
        <v/>
      </c>
      <c r="F10" s="16"/>
      <c r="G10" s="16"/>
      <c r="H10" s="7"/>
      <c r="I10" s="16"/>
      <c r="J10" s="16"/>
    </row>
    <row r="11" spans="1:10">
      <c r="A11" s="16"/>
      <c r="B11" s="16"/>
      <c r="C11" s="7"/>
      <c r="D11" s="7"/>
      <c r="E11" s="7" t="str">
        <f t="shared" si="0"/>
        <v/>
      </c>
      <c r="F11" s="16"/>
      <c r="G11" s="16"/>
      <c r="H11" s="7"/>
      <c r="I11" s="16"/>
      <c r="J11" s="16"/>
    </row>
    <row r="12" spans="1:10">
      <c r="A12" s="16"/>
      <c r="B12" s="16"/>
      <c r="C12" s="7"/>
      <c r="D12" s="7"/>
      <c r="E12" s="7" t="str">
        <f t="shared" si="0"/>
        <v/>
      </c>
      <c r="F12" s="16"/>
      <c r="G12" s="16"/>
      <c r="H12" s="7"/>
      <c r="I12" s="16"/>
      <c r="J12" s="16"/>
    </row>
    <row r="13" spans="1:10">
      <c r="A13" s="16"/>
      <c r="B13" s="16"/>
      <c r="C13" s="7"/>
      <c r="D13" s="7"/>
      <c r="E13" s="7" t="str">
        <f t="shared" si="0"/>
        <v/>
      </c>
      <c r="F13" s="16"/>
      <c r="G13" s="16"/>
      <c r="H13" s="7"/>
      <c r="I13" s="16"/>
      <c r="J13" s="16"/>
    </row>
    <row r="14" spans="1:10">
      <c r="A14" s="16"/>
      <c r="B14" s="16"/>
      <c r="C14" s="7"/>
      <c r="D14" s="7"/>
      <c r="E14" s="7" t="str">
        <f t="shared" si="0"/>
        <v/>
      </c>
      <c r="F14" s="16"/>
      <c r="G14" s="16"/>
      <c r="H14" s="7"/>
      <c r="I14" s="16"/>
      <c r="J14" s="16"/>
    </row>
    <row r="15" spans="1:10">
      <c r="A15" s="16"/>
      <c r="B15" s="16"/>
      <c r="C15" s="7"/>
      <c r="D15" s="7"/>
      <c r="E15" s="7" t="str">
        <f t="shared" si="0"/>
        <v/>
      </c>
      <c r="F15" s="16"/>
      <c r="G15" s="16"/>
      <c r="H15" s="7"/>
      <c r="I15" s="16"/>
      <c r="J15" s="16"/>
    </row>
    <row r="16" spans="1:10">
      <c r="A16" s="16"/>
      <c r="B16" s="16"/>
      <c r="C16" s="7"/>
      <c r="D16" s="7"/>
      <c r="E16" s="7" t="str">
        <f t="shared" si="0"/>
        <v/>
      </c>
      <c r="F16" s="16"/>
      <c r="G16" s="16"/>
      <c r="H16" s="7"/>
      <c r="I16" s="16"/>
      <c r="J16" s="16"/>
    </row>
    <row r="17" spans="1:10">
      <c r="A17" s="16"/>
      <c r="B17" s="16"/>
      <c r="C17" s="7"/>
      <c r="D17" s="7"/>
      <c r="E17" s="7" t="str">
        <f t="shared" si="0"/>
        <v/>
      </c>
      <c r="F17" s="16"/>
      <c r="G17" s="16"/>
      <c r="H17" s="7"/>
      <c r="I17" s="16"/>
      <c r="J17" s="16"/>
    </row>
    <row r="18" spans="1:10">
      <c r="A18" s="16"/>
      <c r="B18" s="16"/>
      <c r="C18" s="7"/>
      <c r="D18" s="7"/>
      <c r="E18" s="7" t="str">
        <f t="shared" si="0"/>
        <v/>
      </c>
      <c r="F18" s="16"/>
      <c r="G18" s="16"/>
      <c r="H18" s="7"/>
      <c r="I18" s="16"/>
      <c r="J18" s="16"/>
    </row>
    <row r="19" spans="1:10">
      <c r="A19" s="16"/>
      <c r="B19" s="16"/>
      <c r="C19" s="7"/>
      <c r="D19" s="7"/>
      <c r="E19" s="7" t="str">
        <f t="shared" si="0"/>
        <v/>
      </c>
      <c r="F19" s="16"/>
      <c r="G19" s="16"/>
      <c r="H19" s="7"/>
      <c r="I19" s="16"/>
      <c r="J19" s="16"/>
    </row>
    <row r="20" spans="1:10">
      <c r="A20" s="16"/>
      <c r="B20" s="16"/>
      <c r="C20" s="7"/>
      <c r="D20" s="7"/>
      <c r="E20" s="7" t="str">
        <f t="shared" si="0"/>
        <v/>
      </c>
      <c r="F20" s="16"/>
      <c r="G20" s="16"/>
      <c r="H20" s="7"/>
      <c r="I20" s="16"/>
      <c r="J20" s="16"/>
    </row>
    <row r="21" spans="1:10">
      <c r="A21" s="16"/>
      <c r="B21" s="16"/>
      <c r="C21" s="7"/>
      <c r="D21" s="7"/>
      <c r="E21" s="7" t="str">
        <f t="shared" si="0"/>
        <v/>
      </c>
      <c r="F21" s="16"/>
      <c r="G21" s="16"/>
      <c r="H21" s="7"/>
      <c r="I21" s="16"/>
      <c r="J21" s="16"/>
    </row>
    <row r="22" spans="1:10">
      <c r="A22" s="16"/>
      <c r="B22" s="16"/>
      <c r="C22" s="7"/>
      <c r="D22" s="7"/>
      <c r="E22" s="7" t="str">
        <f t="shared" si="0"/>
        <v/>
      </c>
      <c r="F22" s="16"/>
      <c r="G22" s="16"/>
      <c r="H22" s="7"/>
      <c r="I22" s="16"/>
      <c r="J22" s="16"/>
    </row>
    <row r="23" spans="1:10">
      <c r="A23" s="16"/>
      <c r="B23" s="16"/>
      <c r="C23" s="7"/>
      <c r="D23" s="7"/>
      <c r="E23" s="7" t="str">
        <f t="shared" si="0"/>
        <v/>
      </c>
      <c r="F23" s="16"/>
      <c r="G23" s="16"/>
      <c r="H23" s="7"/>
      <c r="I23" s="16"/>
      <c r="J23" s="16"/>
    </row>
    <row r="24" spans="1:10">
      <c r="A24" s="16"/>
      <c r="B24" s="16"/>
      <c r="C24" s="7"/>
      <c r="D24" s="7"/>
      <c r="E24" s="7" t="str">
        <f t="shared" si="0"/>
        <v/>
      </c>
      <c r="F24" s="16"/>
      <c r="G24" s="16"/>
      <c r="H24" s="7"/>
      <c r="I24" s="16"/>
      <c r="J24" s="16"/>
    </row>
    <row r="25" spans="1:10">
      <c r="A25" s="16"/>
      <c r="B25" s="16"/>
      <c r="C25" s="7"/>
      <c r="D25" s="7"/>
      <c r="E25" s="7" t="str">
        <f t="shared" si="0"/>
        <v/>
      </c>
      <c r="F25" s="16"/>
      <c r="G25" s="16"/>
      <c r="H25" s="7"/>
      <c r="I25" s="16"/>
      <c r="J25" s="16"/>
    </row>
    <row r="26" spans="1:10">
      <c r="A26" s="16"/>
      <c r="B26" s="16"/>
      <c r="C26" s="7"/>
      <c r="D26" s="7"/>
      <c r="E26" s="7" t="str">
        <f t="shared" si="0"/>
        <v/>
      </c>
      <c r="F26" s="16"/>
      <c r="G26" s="16"/>
      <c r="H26" s="7"/>
      <c r="I26" s="16"/>
      <c r="J26" s="16"/>
    </row>
    <row r="27" spans="1:10">
      <c r="A27" s="16"/>
      <c r="B27" s="16"/>
      <c r="C27" s="7"/>
      <c r="D27" s="7"/>
      <c r="E27" s="7" t="str">
        <f t="shared" si="0"/>
        <v/>
      </c>
      <c r="F27" s="16"/>
      <c r="G27" s="16"/>
      <c r="H27" s="7"/>
      <c r="I27" s="16"/>
      <c r="J27" s="16"/>
    </row>
    <row r="28" spans="1:10">
      <c r="A28" s="16"/>
      <c r="B28" s="16"/>
      <c r="C28" s="7"/>
      <c r="D28" s="7"/>
      <c r="E28" s="7" t="str">
        <f t="shared" si="0"/>
        <v/>
      </c>
      <c r="F28" s="16"/>
      <c r="G28" s="16"/>
      <c r="H28" s="7"/>
      <c r="I28" s="16"/>
      <c r="J28" s="16"/>
    </row>
    <row r="29" spans="1:10">
      <c r="A29" s="16"/>
      <c r="B29" s="16"/>
      <c r="C29" s="7"/>
      <c r="D29" s="7"/>
      <c r="E29" s="7" t="str">
        <f t="shared" si="0"/>
        <v/>
      </c>
      <c r="F29" s="16"/>
      <c r="G29" s="16"/>
      <c r="H29" s="7"/>
      <c r="I29" s="16"/>
      <c r="J29" s="16"/>
    </row>
    <row r="30" spans="1:10">
      <c r="A30" s="16"/>
      <c r="B30" s="16"/>
      <c r="C30" s="7"/>
      <c r="D30" s="7"/>
      <c r="E30" s="7" t="str">
        <f t="shared" si="0"/>
        <v/>
      </c>
      <c r="F30" s="16"/>
      <c r="G30" s="16"/>
      <c r="H30" s="7"/>
      <c r="I30" s="16"/>
      <c r="J30" s="16"/>
    </row>
    <row r="31" spans="1:10">
      <c r="A31" s="16"/>
      <c r="B31" s="16"/>
      <c r="C31" s="7"/>
      <c r="D31" s="7"/>
      <c r="E31" s="7" t="str">
        <f t="shared" si="0"/>
        <v/>
      </c>
      <c r="F31" s="16"/>
      <c r="G31" s="16"/>
      <c r="H31" s="7"/>
      <c r="I31" s="16"/>
      <c r="J31" s="16"/>
    </row>
    <row r="32" spans="1:10">
      <c r="A32" s="16"/>
      <c r="B32" s="16"/>
      <c r="C32" s="7"/>
      <c r="D32" s="7"/>
      <c r="E32" s="7" t="str">
        <f t="shared" si="0"/>
        <v/>
      </c>
      <c r="F32" s="16"/>
      <c r="G32" s="16"/>
      <c r="H32" s="7"/>
      <c r="I32" s="16"/>
      <c r="J32" s="16"/>
    </row>
    <row r="33" spans="1:10">
      <c r="A33" s="16"/>
      <c r="B33" s="16"/>
      <c r="C33" s="7"/>
      <c r="D33" s="7"/>
      <c r="E33" s="7" t="str">
        <f t="shared" si="0"/>
        <v/>
      </c>
      <c r="F33" s="16"/>
      <c r="G33" s="16"/>
      <c r="H33" s="7"/>
      <c r="I33" s="16"/>
      <c r="J33" s="16"/>
    </row>
    <row r="34" spans="1:10">
      <c r="A34" s="16"/>
      <c r="B34" s="16"/>
      <c r="C34" s="7"/>
      <c r="D34" s="7"/>
      <c r="E34" s="7" t="str">
        <f t="shared" si="0"/>
        <v/>
      </c>
      <c r="F34" s="16"/>
      <c r="G34" s="16"/>
      <c r="H34" s="7"/>
      <c r="I34" s="16"/>
      <c r="J34" s="16"/>
    </row>
    <row r="35" spans="1:10">
      <c r="A35" s="16"/>
      <c r="B35" s="16"/>
      <c r="C35" s="7"/>
      <c r="D35" s="7"/>
      <c r="E35" s="7" t="str">
        <f t="shared" si="0"/>
        <v/>
      </c>
      <c r="F35" s="16"/>
      <c r="G35" s="16"/>
      <c r="H35" s="7"/>
      <c r="I35" s="16"/>
      <c r="J35" s="16"/>
    </row>
    <row r="36" spans="1:10">
      <c r="A36" s="16"/>
      <c r="B36" s="16"/>
      <c r="C36" s="7"/>
      <c r="D36" s="7"/>
      <c r="E36" s="7" t="str">
        <f t="shared" ref="E36:E53" si="1">IF(C36="","",C36-D36)</f>
        <v/>
      </c>
      <c r="F36" s="16"/>
      <c r="G36" s="16"/>
      <c r="H36" s="7"/>
      <c r="I36" s="16"/>
      <c r="J36" s="16"/>
    </row>
    <row r="37" spans="1:10">
      <c r="A37" s="16"/>
      <c r="B37" s="16"/>
      <c r="C37" s="7"/>
      <c r="D37" s="7"/>
      <c r="E37" s="7" t="str">
        <f t="shared" si="1"/>
        <v/>
      </c>
      <c r="F37" s="16"/>
      <c r="G37" s="16"/>
      <c r="H37" s="7"/>
      <c r="I37" s="16"/>
      <c r="J37" s="16"/>
    </row>
    <row r="38" spans="1:10">
      <c r="A38" s="16"/>
      <c r="B38" s="16"/>
      <c r="C38" s="7"/>
      <c r="D38" s="7"/>
      <c r="E38" s="7" t="str">
        <f t="shared" si="1"/>
        <v/>
      </c>
      <c r="F38" s="16"/>
      <c r="G38" s="16"/>
      <c r="H38" s="7"/>
      <c r="I38" s="16"/>
      <c r="J38" s="16"/>
    </row>
    <row r="39" spans="1:10">
      <c r="A39" s="16"/>
      <c r="B39" s="16"/>
      <c r="C39" s="7"/>
      <c r="D39" s="7"/>
      <c r="E39" s="7" t="str">
        <f t="shared" si="1"/>
        <v/>
      </c>
      <c r="F39" s="16"/>
      <c r="G39" s="16"/>
      <c r="H39" s="7"/>
      <c r="I39" s="16"/>
      <c r="J39" s="16"/>
    </row>
    <row r="40" spans="1:10">
      <c r="A40" s="16"/>
      <c r="B40" s="16"/>
      <c r="C40" s="7"/>
      <c r="D40" s="7"/>
      <c r="E40" s="7" t="str">
        <f t="shared" si="1"/>
        <v/>
      </c>
      <c r="F40" s="16"/>
      <c r="G40" s="16"/>
      <c r="H40" s="7"/>
      <c r="I40" s="16"/>
      <c r="J40" s="16"/>
    </row>
    <row r="41" spans="1:10">
      <c r="A41" s="16"/>
      <c r="B41" s="16"/>
      <c r="C41" s="7"/>
      <c r="D41" s="7"/>
      <c r="E41" s="7" t="str">
        <f t="shared" si="1"/>
        <v/>
      </c>
      <c r="F41" s="16"/>
      <c r="G41" s="16"/>
      <c r="H41" s="7"/>
      <c r="I41" s="16"/>
      <c r="J41" s="16"/>
    </row>
    <row r="42" spans="1:10">
      <c r="A42" s="16"/>
      <c r="B42" s="16"/>
      <c r="C42" s="7"/>
      <c r="D42" s="7"/>
      <c r="E42" s="7" t="str">
        <f t="shared" si="1"/>
        <v/>
      </c>
      <c r="F42" s="16"/>
      <c r="G42" s="16"/>
      <c r="H42" s="7"/>
      <c r="I42" s="16"/>
      <c r="J42" s="16"/>
    </row>
    <row r="43" spans="1:10">
      <c r="A43" s="16"/>
      <c r="B43" s="16"/>
      <c r="C43" s="7"/>
      <c r="D43" s="7"/>
      <c r="E43" s="7" t="str">
        <f t="shared" si="1"/>
        <v/>
      </c>
      <c r="F43" s="16"/>
      <c r="G43" s="16"/>
      <c r="H43" s="7"/>
      <c r="I43" s="16"/>
      <c r="J43" s="16"/>
    </row>
    <row r="44" spans="1:10">
      <c r="A44" s="16"/>
      <c r="B44" s="16"/>
      <c r="C44" s="7"/>
      <c r="D44" s="7"/>
      <c r="E44" s="7" t="str">
        <f t="shared" si="1"/>
        <v/>
      </c>
      <c r="F44" s="16"/>
      <c r="G44" s="16"/>
      <c r="H44" s="7"/>
      <c r="I44" s="16"/>
      <c r="J44" s="16"/>
    </row>
    <row r="45" spans="1:10">
      <c r="A45" s="16"/>
      <c r="B45" s="16"/>
      <c r="C45" s="7"/>
      <c r="D45" s="7"/>
      <c r="E45" s="7" t="str">
        <f t="shared" si="1"/>
        <v/>
      </c>
      <c r="F45" s="16"/>
      <c r="G45" s="16"/>
      <c r="H45" s="7"/>
      <c r="I45" s="16"/>
      <c r="J45" s="16"/>
    </row>
    <row r="46" spans="1:10">
      <c r="A46" s="16"/>
      <c r="B46" s="16"/>
      <c r="C46" s="7"/>
      <c r="D46" s="7"/>
      <c r="E46" s="7" t="str">
        <f t="shared" si="1"/>
        <v/>
      </c>
      <c r="F46" s="16"/>
      <c r="G46" s="16"/>
      <c r="H46" s="7"/>
      <c r="I46" s="16"/>
      <c r="J46" s="16"/>
    </row>
    <row r="47" spans="1:10">
      <c r="A47" s="16"/>
      <c r="B47" s="16"/>
      <c r="C47" s="7"/>
      <c r="D47" s="7"/>
      <c r="E47" s="7" t="str">
        <f t="shared" si="1"/>
        <v/>
      </c>
      <c r="F47" s="16"/>
      <c r="G47" s="16"/>
      <c r="H47" s="7"/>
      <c r="I47" s="16"/>
      <c r="J47" s="16"/>
    </row>
    <row r="48" spans="1:10">
      <c r="A48" s="16"/>
      <c r="B48" s="16"/>
      <c r="C48" s="7"/>
      <c r="D48" s="7"/>
      <c r="E48" s="7" t="str">
        <f t="shared" si="1"/>
        <v/>
      </c>
      <c r="F48" s="16"/>
      <c r="G48" s="16"/>
      <c r="H48" s="7"/>
      <c r="I48" s="16"/>
      <c r="J48" s="16"/>
    </row>
    <row r="49" spans="1:10">
      <c r="A49" s="16"/>
      <c r="B49" s="16"/>
      <c r="C49" s="7"/>
      <c r="D49" s="7"/>
      <c r="E49" s="7" t="str">
        <f t="shared" si="1"/>
        <v/>
      </c>
      <c r="F49" s="16"/>
      <c r="G49" s="16"/>
      <c r="H49" s="7"/>
      <c r="I49" s="16"/>
      <c r="J49" s="16"/>
    </row>
    <row r="50" spans="1:10">
      <c r="A50" s="16"/>
      <c r="B50" s="16"/>
      <c r="C50" s="7"/>
      <c r="D50" s="7"/>
      <c r="E50" s="7" t="str">
        <f t="shared" si="1"/>
        <v/>
      </c>
      <c r="F50" s="16"/>
      <c r="G50" s="16"/>
      <c r="H50" s="7"/>
      <c r="I50" s="16"/>
      <c r="J50" s="16"/>
    </row>
    <row r="51" spans="1:10">
      <c r="A51" s="16"/>
      <c r="B51" s="16"/>
      <c r="C51" s="7"/>
      <c r="D51" s="7"/>
      <c r="E51" s="7" t="str">
        <f t="shared" si="1"/>
        <v/>
      </c>
      <c r="F51" s="16"/>
      <c r="G51" s="16"/>
      <c r="H51" s="7"/>
      <c r="I51" s="16"/>
      <c r="J51" s="16"/>
    </row>
    <row r="52" spans="1:10">
      <c r="A52" s="16"/>
      <c r="B52" s="16"/>
      <c r="C52" s="7"/>
      <c r="D52" s="7"/>
      <c r="E52" s="7" t="str">
        <f t="shared" si="1"/>
        <v/>
      </c>
      <c r="F52" s="16"/>
      <c r="G52" s="16"/>
      <c r="H52" s="7"/>
      <c r="I52" s="16"/>
      <c r="J52" s="16"/>
    </row>
    <row r="53" spans="1:10">
      <c r="A53" s="16"/>
      <c r="B53" s="16"/>
      <c r="C53" s="7"/>
      <c r="D53" s="7"/>
      <c r="E53" s="7" t="str">
        <f t="shared" si="1"/>
        <v/>
      </c>
      <c r="F53" s="16"/>
      <c r="G53" s="16"/>
      <c r="H53" s="7"/>
      <c r="I53" s="16"/>
      <c r="J53" s="16"/>
    </row>
  </sheetData>
  <mergeCells count="1">
    <mergeCell ref="A1:J1"/>
  </mergeCells>
  <conditionalFormatting sqref="E4:E53">
    <cfRule type="cellIs" dxfId="2" priority="1" operator="lessThan">
      <formula>0</formula>
    </cfRule>
  </conditionalFormatting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03"/>
  <sheetViews>
    <sheetView showGridLines="0" workbookViewId="0">
      <pane ySplit="3" topLeftCell="A4" activePane="bottomLeft" state="frozen"/>
      <selection pane="bottomLeft" activeCell="C14" sqref="C14"/>
    </sheetView>
  </sheetViews>
  <sheetFormatPr defaultRowHeight="14.45"/>
  <cols>
    <col min="1" max="1" width="26.5703125" bestFit="1" customWidth="1"/>
    <col min="2" max="2" width="22" customWidth="1"/>
    <col min="3" max="3" width="13" customWidth="1"/>
    <col min="4" max="4" width="15" customWidth="1"/>
    <col min="5" max="5" width="13" customWidth="1"/>
    <col min="6" max="8" width="15" customWidth="1"/>
    <col min="9" max="9" width="18" customWidth="1"/>
    <col min="10" max="10" width="15" customWidth="1"/>
    <col min="11" max="11" width="18" customWidth="1"/>
    <col min="12" max="12" width="28" customWidth="1"/>
  </cols>
  <sheetData>
    <row r="1" spans="1:12" ht="30" customHeight="1">
      <c r="A1" s="18" t="s">
        <v>127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</row>
    <row r="3" spans="1:12">
      <c r="A3" s="17" t="s">
        <v>128</v>
      </c>
      <c r="B3" s="17" t="s">
        <v>77</v>
      </c>
      <c r="C3" s="17" t="s">
        <v>34</v>
      </c>
      <c r="D3" s="17" t="s">
        <v>129</v>
      </c>
      <c r="E3" s="17" t="s">
        <v>130</v>
      </c>
      <c r="F3" s="17" t="s">
        <v>131</v>
      </c>
      <c r="G3" s="17" t="s">
        <v>132</v>
      </c>
      <c r="H3" s="17" t="s">
        <v>133</v>
      </c>
      <c r="I3" s="17" t="s">
        <v>134</v>
      </c>
      <c r="J3" s="17" t="s">
        <v>13</v>
      </c>
      <c r="K3" s="17" t="s">
        <v>135</v>
      </c>
      <c r="L3" s="17" t="s">
        <v>42</v>
      </c>
    </row>
    <row r="4" spans="1:12">
      <c r="A4" s="16" t="s">
        <v>136</v>
      </c>
      <c r="B4" s="16" t="s">
        <v>121</v>
      </c>
      <c r="C4" s="6">
        <v>46054</v>
      </c>
      <c r="D4" s="7">
        <v>450</v>
      </c>
      <c r="E4" s="16">
        <v>9</v>
      </c>
      <c r="F4" s="16">
        <v>8</v>
      </c>
      <c r="G4" s="7">
        <f t="shared" ref="G4:G35" si="0">IFERROR(D4/E4,"")</f>
        <v>50</v>
      </c>
      <c r="H4" s="16">
        <v>8</v>
      </c>
      <c r="I4" s="16">
        <f t="shared" ref="I4:I35" si="1">IF(E4="","",MAX(E4-H4,0))</f>
        <v>1</v>
      </c>
      <c r="J4" s="7">
        <f t="shared" ref="J4:J35" si="2">IF(G4="","",G4*I4)</f>
        <v>50</v>
      </c>
      <c r="K4" s="6">
        <v>46317</v>
      </c>
      <c r="L4" s="16"/>
    </row>
    <row r="5" spans="1:12">
      <c r="A5" s="16" t="s">
        <v>137</v>
      </c>
      <c r="B5" s="16" t="s">
        <v>121</v>
      </c>
      <c r="C5" s="6">
        <v>46054</v>
      </c>
      <c r="D5" s="7">
        <v>1209.96</v>
      </c>
      <c r="E5" s="16">
        <v>9</v>
      </c>
      <c r="F5" s="16">
        <v>8</v>
      </c>
      <c r="G5" s="7">
        <f t="shared" si="0"/>
        <v>134.44</v>
      </c>
      <c r="H5" s="16">
        <v>8</v>
      </c>
      <c r="I5" s="16">
        <f t="shared" si="1"/>
        <v>1</v>
      </c>
      <c r="J5" s="7">
        <f t="shared" si="2"/>
        <v>134.44</v>
      </c>
      <c r="K5" s="6">
        <v>46317</v>
      </c>
      <c r="L5" s="16"/>
    </row>
    <row r="6" spans="1:12">
      <c r="A6" s="16" t="s">
        <v>138</v>
      </c>
      <c r="B6" s="16" t="s">
        <v>121</v>
      </c>
      <c r="C6" s="6">
        <v>46107</v>
      </c>
      <c r="D6" s="7">
        <v>5199</v>
      </c>
      <c r="E6" s="16">
        <v>10</v>
      </c>
      <c r="F6" s="16">
        <v>6</v>
      </c>
      <c r="G6" s="7">
        <f t="shared" si="0"/>
        <v>519.9</v>
      </c>
      <c r="H6" s="16">
        <v>6</v>
      </c>
      <c r="I6" s="16">
        <f t="shared" si="1"/>
        <v>4</v>
      </c>
      <c r="J6" s="7">
        <f t="shared" si="2"/>
        <v>2079.6</v>
      </c>
      <c r="K6" s="6">
        <v>46317</v>
      </c>
      <c r="L6" s="16"/>
    </row>
    <row r="7" spans="1:12">
      <c r="A7" s="16" t="s">
        <v>139</v>
      </c>
      <c r="B7" s="16" t="s">
        <v>121</v>
      </c>
      <c r="C7" s="6">
        <v>46189</v>
      </c>
      <c r="D7" s="7">
        <v>498.9</v>
      </c>
      <c r="E7" s="16">
        <v>5</v>
      </c>
      <c r="F7" s="16">
        <v>3</v>
      </c>
      <c r="G7" s="7">
        <f t="shared" si="0"/>
        <v>99.78</v>
      </c>
      <c r="H7" s="16">
        <v>3</v>
      </c>
      <c r="I7" s="16">
        <f t="shared" si="1"/>
        <v>2</v>
      </c>
      <c r="J7" s="7">
        <f t="shared" si="2"/>
        <v>199.56</v>
      </c>
      <c r="K7" s="6">
        <v>46317</v>
      </c>
      <c r="L7" s="16"/>
    </row>
    <row r="8" spans="1:12">
      <c r="A8" s="16" t="s">
        <v>140</v>
      </c>
      <c r="B8" s="16" t="s">
        <v>141</v>
      </c>
      <c r="C8" s="6">
        <v>46113</v>
      </c>
      <c r="D8" s="7">
        <v>3199.86</v>
      </c>
      <c r="E8" s="16">
        <v>18</v>
      </c>
      <c r="F8" s="16">
        <v>7</v>
      </c>
      <c r="G8" s="7">
        <f t="shared" si="0"/>
        <v>177.77</v>
      </c>
      <c r="H8" s="16">
        <v>6</v>
      </c>
      <c r="I8" s="16">
        <f t="shared" si="1"/>
        <v>12</v>
      </c>
      <c r="J8" s="7">
        <f t="shared" si="2"/>
        <v>2133.2400000000002</v>
      </c>
      <c r="K8" s="6">
        <v>46303</v>
      </c>
      <c r="L8" s="16"/>
    </row>
    <row r="9" spans="1:12">
      <c r="A9" s="16" t="s">
        <v>94</v>
      </c>
      <c r="B9" s="16" t="s">
        <v>123</v>
      </c>
      <c r="C9" s="6">
        <v>46296</v>
      </c>
      <c r="D9" s="7">
        <v>20196.599999999999</v>
      </c>
      <c r="E9" s="16">
        <v>12</v>
      </c>
      <c r="F9" s="16">
        <v>11</v>
      </c>
      <c r="G9" s="7">
        <f t="shared" si="0"/>
        <v>1683.05</v>
      </c>
      <c r="H9" s="16">
        <v>11</v>
      </c>
      <c r="I9" s="16">
        <f t="shared" si="1"/>
        <v>1</v>
      </c>
      <c r="J9" s="7">
        <f t="shared" si="2"/>
        <v>1683.05</v>
      </c>
      <c r="K9" s="6">
        <v>46307</v>
      </c>
      <c r="L9" s="16"/>
    </row>
    <row r="10" spans="1:12">
      <c r="A10" s="16"/>
      <c r="B10" s="16"/>
      <c r="C10" s="6"/>
      <c r="D10" s="7"/>
      <c r="E10" s="16"/>
      <c r="F10" s="16"/>
      <c r="G10" s="7" t="str">
        <f t="shared" si="0"/>
        <v/>
      </c>
      <c r="H10" s="16"/>
      <c r="I10" s="16" t="str">
        <f t="shared" si="1"/>
        <v/>
      </c>
      <c r="J10" s="7" t="str">
        <f t="shared" si="2"/>
        <v/>
      </c>
      <c r="K10" s="6"/>
      <c r="L10" s="16"/>
    </row>
    <row r="11" spans="1:12">
      <c r="A11" s="16"/>
      <c r="B11" s="16"/>
      <c r="C11" s="6"/>
      <c r="D11" s="7"/>
      <c r="E11" s="16"/>
      <c r="F11" s="16"/>
      <c r="G11" s="7" t="str">
        <f t="shared" si="0"/>
        <v/>
      </c>
      <c r="H11" s="16"/>
      <c r="I11" s="16" t="str">
        <f t="shared" si="1"/>
        <v/>
      </c>
      <c r="J11" s="7" t="str">
        <f t="shared" si="2"/>
        <v/>
      </c>
      <c r="K11" s="6"/>
      <c r="L11" s="16"/>
    </row>
    <row r="12" spans="1:12">
      <c r="A12" s="16"/>
      <c r="B12" s="16"/>
      <c r="C12" s="6"/>
      <c r="D12" s="7"/>
      <c r="E12" s="16"/>
      <c r="F12" s="16"/>
      <c r="G12" s="7" t="str">
        <f t="shared" si="0"/>
        <v/>
      </c>
      <c r="H12" s="16"/>
      <c r="I12" s="16" t="str">
        <f t="shared" si="1"/>
        <v/>
      </c>
      <c r="J12" s="7" t="str">
        <f t="shared" si="2"/>
        <v/>
      </c>
      <c r="K12" s="6"/>
      <c r="L12" s="16"/>
    </row>
    <row r="13" spans="1:12">
      <c r="A13" s="16"/>
      <c r="B13" s="16"/>
      <c r="C13" s="6"/>
      <c r="D13" s="7"/>
      <c r="E13" s="16"/>
      <c r="F13" s="16"/>
      <c r="G13" s="7" t="str">
        <f t="shared" si="0"/>
        <v/>
      </c>
      <c r="H13" s="16"/>
      <c r="I13" s="16" t="str">
        <f t="shared" si="1"/>
        <v/>
      </c>
      <c r="J13" s="7" t="str">
        <f t="shared" si="2"/>
        <v/>
      </c>
      <c r="K13" s="6"/>
      <c r="L13" s="16"/>
    </row>
    <row r="14" spans="1:12">
      <c r="A14" s="16"/>
      <c r="B14" s="16"/>
      <c r="C14" s="6"/>
      <c r="D14" s="7"/>
      <c r="E14" s="16"/>
      <c r="F14" s="16"/>
      <c r="G14" s="7" t="str">
        <f t="shared" si="0"/>
        <v/>
      </c>
      <c r="H14" s="16"/>
      <c r="I14" s="16" t="str">
        <f t="shared" si="1"/>
        <v/>
      </c>
      <c r="J14" s="7" t="str">
        <f t="shared" si="2"/>
        <v/>
      </c>
      <c r="K14" s="6"/>
      <c r="L14" s="16"/>
    </row>
    <row r="15" spans="1:12">
      <c r="A15" s="16"/>
      <c r="B15" s="16"/>
      <c r="C15" s="6"/>
      <c r="D15" s="7"/>
      <c r="E15" s="16"/>
      <c r="F15" s="16"/>
      <c r="G15" s="7" t="str">
        <f t="shared" si="0"/>
        <v/>
      </c>
      <c r="H15" s="16"/>
      <c r="I15" s="16" t="str">
        <f t="shared" si="1"/>
        <v/>
      </c>
      <c r="J15" s="7" t="str">
        <f t="shared" si="2"/>
        <v/>
      </c>
      <c r="K15" s="6"/>
      <c r="L15" s="16"/>
    </row>
    <row r="16" spans="1:12">
      <c r="A16" s="16"/>
      <c r="B16" s="16"/>
      <c r="C16" s="6"/>
      <c r="D16" s="7"/>
      <c r="E16" s="16"/>
      <c r="F16" s="16"/>
      <c r="G16" s="7" t="str">
        <f t="shared" si="0"/>
        <v/>
      </c>
      <c r="H16" s="16"/>
      <c r="I16" s="16" t="str">
        <f t="shared" si="1"/>
        <v/>
      </c>
      <c r="J16" s="7" t="str">
        <f t="shared" si="2"/>
        <v/>
      </c>
      <c r="K16" s="6"/>
      <c r="L16" s="16"/>
    </row>
    <row r="17" spans="1:12">
      <c r="A17" s="16"/>
      <c r="B17" s="16"/>
      <c r="C17" s="6"/>
      <c r="D17" s="7"/>
      <c r="E17" s="16"/>
      <c r="F17" s="16"/>
      <c r="G17" s="7" t="str">
        <f t="shared" si="0"/>
        <v/>
      </c>
      <c r="H17" s="16"/>
      <c r="I17" s="16" t="str">
        <f t="shared" si="1"/>
        <v/>
      </c>
      <c r="J17" s="7" t="str">
        <f t="shared" si="2"/>
        <v/>
      </c>
      <c r="K17" s="6"/>
      <c r="L17" s="16"/>
    </row>
    <row r="18" spans="1:12">
      <c r="A18" s="16"/>
      <c r="B18" s="16"/>
      <c r="C18" s="6"/>
      <c r="D18" s="7"/>
      <c r="E18" s="16"/>
      <c r="F18" s="16"/>
      <c r="G18" s="7" t="str">
        <f t="shared" si="0"/>
        <v/>
      </c>
      <c r="H18" s="16"/>
      <c r="I18" s="16" t="str">
        <f t="shared" si="1"/>
        <v/>
      </c>
      <c r="J18" s="7" t="str">
        <f t="shared" si="2"/>
        <v/>
      </c>
      <c r="K18" s="6"/>
      <c r="L18" s="16"/>
    </row>
    <row r="19" spans="1:12">
      <c r="A19" s="16"/>
      <c r="B19" s="16"/>
      <c r="C19" s="6"/>
      <c r="D19" s="7"/>
      <c r="E19" s="16"/>
      <c r="F19" s="16"/>
      <c r="G19" s="7" t="str">
        <f t="shared" si="0"/>
        <v/>
      </c>
      <c r="H19" s="16"/>
      <c r="I19" s="16" t="str">
        <f t="shared" si="1"/>
        <v/>
      </c>
      <c r="J19" s="7" t="str">
        <f t="shared" si="2"/>
        <v/>
      </c>
      <c r="K19" s="6"/>
      <c r="L19" s="16"/>
    </row>
    <row r="20" spans="1:12">
      <c r="A20" s="16"/>
      <c r="B20" s="16"/>
      <c r="C20" s="6"/>
      <c r="D20" s="7"/>
      <c r="E20" s="16"/>
      <c r="F20" s="16"/>
      <c r="G20" s="7" t="str">
        <f t="shared" si="0"/>
        <v/>
      </c>
      <c r="H20" s="16"/>
      <c r="I20" s="16" t="str">
        <f t="shared" si="1"/>
        <v/>
      </c>
      <c r="J20" s="7" t="str">
        <f t="shared" si="2"/>
        <v/>
      </c>
      <c r="K20" s="6"/>
      <c r="L20" s="16"/>
    </row>
    <row r="21" spans="1:12">
      <c r="A21" s="16"/>
      <c r="B21" s="16"/>
      <c r="C21" s="6"/>
      <c r="D21" s="7"/>
      <c r="E21" s="16"/>
      <c r="F21" s="16"/>
      <c r="G21" s="7" t="str">
        <f t="shared" si="0"/>
        <v/>
      </c>
      <c r="H21" s="16"/>
      <c r="I21" s="16" t="str">
        <f t="shared" si="1"/>
        <v/>
      </c>
      <c r="J21" s="7" t="str">
        <f t="shared" si="2"/>
        <v/>
      </c>
      <c r="K21" s="6"/>
      <c r="L21" s="16"/>
    </row>
    <row r="22" spans="1:12">
      <c r="A22" s="16"/>
      <c r="B22" s="16"/>
      <c r="C22" s="6"/>
      <c r="D22" s="7"/>
      <c r="E22" s="16"/>
      <c r="F22" s="16"/>
      <c r="G22" s="7" t="str">
        <f t="shared" si="0"/>
        <v/>
      </c>
      <c r="H22" s="16"/>
      <c r="I22" s="16" t="str">
        <f t="shared" si="1"/>
        <v/>
      </c>
      <c r="J22" s="7" t="str">
        <f t="shared" si="2"/>
        <v/>
      </c>
      <c r="K22" s="6"/>
      <c r="L22" s="16"/>
    </row>
    <row r="23" spans="1:12">
      <c r="A23" s="16"/>
      <c r="B23" s="16"/>
      <c r="C23" s="6"/>
      <c r="D23" s="7"/>
      <c r="E23" s="16"/>
      <c r="F23" s="16"/>
      <c r="G23" s="7" t="str">
        <f t="shared" si="0"/>
        <v/>
      </c>
      <c r="H23" s="16"/>
      <c r="I23" s="16" t="str">
        <f t="shared" si="1"/>
        <v/>
      </c>
      <c r="J23" s="7" t="str">
        <f t="shared" si="2"/>
        <v/>
      </c>
      <c r="K23" s="6"/>
      <c r="L23" s="16"/>
    </row>
    <row r="24" spans="1:12">
      <c r="A24" s="16"/>
      <c r="B24" s="16"/>
      <c r="C24" s="6"/>
      <c r="D24" s="7"/>
      <c r="E24" s="16"/>
      <c r="F24" s="16"/>
      <c r="G24" s="7" t="str">
        <f t="shared" si="0"/>
        <v/>
      </c>
      <c r="H24" s="16"/>
      <c r="I24" s="16" t="str">
        <f t="shared" si="1"/>
        <v/>
      </c>
      <c r="J24" s="7" t="str">
        <f t="shared" si="2"/>
        <v/>
      </c>
      <c r="K24" s="6"/>
      <c r="L24" s="16"/>
    </row>
    <row r="25" spans="1:12">
      <c r="A25" s="16"/>
      <c r="B25" s="16"/>
      <c r="C25" s="6"/>
      <c r="D25" s="7"/>
      <c r="E25" s="16"/>
      <c r="F25" s="16"/>
      <c r="G25" s="7" t="str">
        <f t="shared" si="0"/>
        <v/>
      </c>
      <c r="H25" s="16"/>
      <c r="I25" s="16" t="str">
        <f t="shared" si="1"/>
        <v/>
      </c>
      <c r="J25" s="7" t="str">
        <f t="shared" si="2"/>
        <v/>
      </c>
      <c r="K25" s="6"/>
      <c r="L25" s="16"/>
    </row>
    <row r="26" spans="1:12">
      <c r="A26" s="16"/>
      <c r="B26" s="16"/>
      <c r="C26" s="6"/>
      <c r="D26" s="7"/>
      <c r="E26" s="16"/>
      <c r="F26" s="16"/>
      <c r="G26" s="7" t="str">
        <f t="shared" si="0"/>
        <v/>
      </c>
      <c r="H26" s="16"/>
      <c r="I26" s="16" t="str">
        <f t="shared" si="1"/>
        <v/>
      </c>
      <c r="J26" s="7" t="str">
        <f t="shared" si="2"/>
        <v/>
      </c>
      <c r="K26" s="6"/>
      <c r="L26" s="16"/>
    </row>
    <row r="27" spans="1:12">
      <c r="A27" s="16"/>
      <c r="B27" s="16"/>
      <c r="C27" s="6"/>
      <c r="D27" s="7"/>
      <c r="E27" s="16"/>
      <c r="F27" s="16"/>
      <c r="G27" s="7" t="str">
        <f t="shared" si="0"/>
        <v/>
      </c>
      <c r="H27" s="16"/>
      <c r="I27" s="16" t="str">
        <f t="shared" si="1"/>
        <v/>
      </c>
      <c r="J27" s="7" t="str">
        <f t="shared" si="2"/>
        <v/>
      </c>
      <c r="K27" s="6"/>
      <c r="L27" s="16"/>
    </row>
    <row r="28" spans="1:12">
      <c r="A28" s="16"/>
      <c r="B28" s="16"/>
      <c r="C28" s="6"/>
      <c r="D28" s="7"/>
      <c r="E28" s="16"/>
      <c r="F28" s="16"/>
      <c r="G28" s="7" t="str">
        <f t="shared" si="0"/>
        <v/>
      </c>
      <c r="H28" s="16"/>
      <c r="I28" s="16" t="str">
        <f t="shared" si="1"/>
        <v/>
      </c>
      <c r="J28" s="7" t="str">
        <f t="shared" si="2"/>
        <v/>
      </c>
      <c r="K28" s="6"/>
      <c r="L28" s="16"/>
    </row>
    <row r="29" spans="1:12">
      <c r="A29" s="16"/>
      <c r="B29" s="16"/>
      <c r="C29" s="6"/>
      <c r="D29" s="7"/>
      <c r="E29" s="16"/>
      <c r="F29" s="16"/>
      <c r="G29" s="7" t="str">
        <f t="shared" si="0"/>
        <v/>
      </c>
      <c r="H29" s="16"/>
      <c r="I29" s="16" t="str">
        <f t="shared" si="1"/>
        <v/>
      </c>
      <c r="J29" s="7" t="str">
        <f t="shared" si="2"/>
        <v/>
      </c>
      <c r="K29" s="6"/>
      <c r="L29" s="16"/>
    </row>
    <row r="30" spans="1:12">
      <c r="A30" s="16"/>
      <c r="B30" s="16"/>
      <c r="C30" s="6"/>
      <c r="D30" s="7"/>
      <c r="E30" s="16"/>
      <c r="F30" s="16"/>
      <c r="G30" s="7" t="str">
        <f t="shared" si="0"/>
        <v/>
      </c>
      <c r="H30" s="16"/>
      <c r="I30" s="16" t="str">
        <f t="shared" si="1"/>
        <v/>
      </c>
      <c r="J30" s="7" t="str">
        <f t="shared" si="2"/>
        <v/>
      </c>
      <c r="K30" s="6"/>
      <c r="L30" s="16"/>
    </row>
    <row r="31" spans="1:12">
      <c r="A31" s="16"/>
      <c r="B31" s="16"/>
      <c r="C31" s="6"/>
      <c r="D31" s="7"/>
      <c r="E31" s="16"/>
      <c r="F31" s="16"/>
      <c r="G31" s="7" t="str">
        <f t="shared" si="0"/>
        <v/>
      </c>
      <c r="H31" s="16"/>
      <c r="I31" s="16" t="str">
        <f t="shared" si="1"/>
        <v/>
      </c>
      <c r="J31" s="7" t="str">
        <f t="shared" si="2"/>
        <v/>
      </c>
      <c r="K31" s="6"/>
      <c r="L31" s="16"/>
    </row>
    <row r="32" spans="1:12">
      <c r="A32" s="16"/>
      <c r="B32" s="16"/>
      <c r="C32" s="6"/>
      <c r="D32" s="7"/>
      <c r="E32" s="16"/>
      <c r="F32" s="16"/>
      <c r="G32" s="7" t="str">
        <f t="shared" si="0"/>
        <v/>
      </c>
      <c r="H32" s="16"/>
      <c r="I32" s="16" t="str">
        <f t="shared" si="1"/>
        <v/>
      </c>
      <c r="J32" s="7" t="str">
        <f t="shared" si="2"/>
        <v/>
      </c>
      <c r="K32" s="6"/>
      <c r="L32" s="16"/>
    </row>
    <row r="33" spans="1:12">
      <c r="A33" s="16"/>
      <c r="B33" s="16"/>
      <c r="C33" s="6"/>
      <c r="D33" s="7"/>
      <c r="E33" s="16"/>
      <c r="F33" s="16"/>
      <c r="G33" s="7" t="str">
        <f t="shared" si="0"/>
        <v/>
      </c>
      <c r="H33" s="16"/>
      <c r="I33" s="16" t="str">
        <f t="shared" si="1"/>
        <v/>
      </c>
      <c r="J33" s="7" t="str">
        <f t="shared" si="2"/>
        <v/>
      </c>
      <c r="K33" s="6"/>
      <c r="L33" s="16"/>
    </row>
    <row r="34" spans="1:12">
      <c r="A34" s="16"/>
      <c r="B34" s="16"/>
      <c r="C34" s="6"/>
      <c r="D34" s="7"/>
      <c r="E34" s="16"/>
      <c r="F34" s="16"/>
      <c r="G34" s="7" t="str">
        <f t="shared" si="0"/>
        <v/>
      </c>
      <c r="H34" s="16"/>
      <c r="I34" s="16" t="str">
        <f t="shared" si="1"/>
        <v/>
      </c>
      <c r="J34" s="7" t="str">
        <f t="shared" si="2"/>
        <v/>
      </c>
      <c r="K34" s="6"/>
      <c r="L34" s="16"/>
    </row>
    <row r="35" spans="1:12">
      <c r="A35" s="16"/>
      <c r="B35" s="16"/>
      <c r="C35" s="6"/>
      <c r="D35" s="7"/>
      <c r="E35" s="16"/>
      <c r="F35" s="16"/>
      <c r="G35" s="7" t="str">
        <f t="shared" si="0"/>
        <v/>
      </c>
      <c r="H35" s="16"/>
      <c r="I35" s="16" t="str">
        <f t="shared" si="1"/>
        <v/>
      </c>
      <c r="J35" s="7" t="str">
        <f t="shared" si="2"/>
        <v/>
      </c>
      <c r="K35" s="6"/>
      <c r="L35" s="16"/>
    </row>
    <row r="36" spans="1:12">
      <c r="A36" s="16"/>
      <c r="B36" s="16"/>
      <c r="C36" s="6"/>
      <c r="D36" s="7"/>
      <c r="E36" s="16"/>
      <c r="F36" s="16"/>
      <c r="G36" s="7" t="str">
        <f t="shared" ref="G36:G67" si="3">IFERROR(D36/E36,"")</f>
        <v/>
      </c>
      <c r="H36" s="16"/>
      <c r="I36" s="16" t="str">
        <f t="shared" ref="I36:I67" si="4">IF(E36="","",MAX(E36-H36,0))</f>
        <v/>
      </c>
      <c r="J36" s="7" t="str">
        <f t="shared" ref="J36:J67" si="5">IF(G36="","",G36*I36)</f>
        <v/>
      </c>
      <c r="K36" s="6"/>
      <c r="L36" s="16"/>
    </row>
    <row r="37" spans="1:12">
      <c r="A37" s="16"/>
      <c r="B37" s="16"/>
      <c r="C37" s="6"/>
      <c r="D37" s="7"/>
      <c r="E37" s="16"/>
      <c r="F37" s="16"/>
      <c r="G37" s="7" t="str">
        <f t="shared" si="3"/>
        <v/>
      </c>
      <c r="H37" s="16"/>
      <c r="I37" s="16" t="str">
        <f t="shared" si="4"/>
        <v/>
      </c>
      <c r="J37" s="7" t="str">
        <f t="shared" si="5"/>
        <v/>
      </c>
      <c r="K37" s="6"/>
      <c r="L37" s="16"/>
    </row>
    <row r="38" spans="1:12">
      <c r="A38" s="16"/>
      <c r="B38" s="16"/>
      <c r="C38" s="6"/>
      <c r="D38" s="7"/>
      <c r="E38" s="16"/>
      <c r="F38" s="16"/>
      <c r="G38" s="7" t="str">
        <f t="shared" si="3"/>
        <v/>
      </c>
      <c r="H38" s="16"/>
      <c r="I38" s="16" t="str">
        <f t="shared" si="4"/>
        <v/>
      </c>
      <c r="J38" s="7" t="str">
        <f t="shared" si="5"/>
        <v/>
      </c>
      <c r="K38" s="6"/>
      <c r="L38" s="16"/>
    </row>
    <row r="39" spans="1:12">
      <c r="A39" s="16"/>
      <c r="B39" s="16"/>
      <c r="C39" s="6"/>
      <c r="D39" s="7"/>
      <c r="E39" s="16"/>
      <c r="F39" s="16"/>
      <c r="G39" s="7" t="str">
        <f t="shared" si="3"/>
        <v/>
      </c>
      <c r="H39" s="16"/>
      <c r="I39" s="16" t="str">
        <f t="shared" si="4"/>
        <v/>
      </c>
      <c r="J39" s="7" t="str">
        <f t="shared" si="5"/>
        <v/>
      </c>
      <c r="K39" s="6"/>
      <c r="L39" s="16"/>
    </row>
    <row r="40" spans="1:12">
      <c r="A40" s="16"/>
      <c r="B40" s="16"/>
      <c r="C40" s="6"/>
      <c r="D40" s="7"/>
      <c r="E40" s="16"/>
      <c r="F40" s="16"/>
      <c r="G40" s="7" t="str">
        <f t="shared" si="3"/>
        <v/>
      </c>
      <c r="H40" s="16"/>
      <c r="I40" s="16" t="str">
        <f t="shared" si="4"/>
        <v/>
      </c>
      <c r="J40" s="7" t="str">
        <f t="shared" si="5"/>
        <v/>
      </c>
      <c r="K40" s="6"/>
      <c r="L40" s="16"/>
    </row>
    <row r="41" spans="1:12">
      <c r="A41" s="16"/>
      <c r="B41" s="16"/>
      <c r="C41" s="6"/>
      <c r="D41" s="7"/>
      <c r="E41" s="16"/>
      <c r="F41" s="16"/>
      <c r="G41" s="7" t="str">
        <f t="shared" si="3"/>
        <v/>
      </c>
      <c r="H41" s="16"/>
      <c r="I41" s="16" t="str">
        <f t="shared" si="4"/>
        <v/>
      </c>
      <c r="J41" s="7" t="str">
        <f t="shared" si="5"/>
        <v/>
      </c>
      <c r="K41" s="6"/>
      <c r="L41" s="16"/>
    </row>
    <row r="42" spans="1:12">
      <c r="A42" s="16"/>
      <c r="B42" s="16"/>
      <c r="C42" s="6"/>
      <c r="D42" s="7"/>
      <c r="E42" s="16"/>
      <c r="F42" s="16"/>
      <c r="G42" s="7" t="str">
        <f t="shared" si="3"/>
        <v/>
      </c>
      <c r="H42" s="16"/>
      <c r="I42" s="16" t="str">
        <f t="shared" si="4"/>
        <v/>
      </c>
      <c r="J42" s="7" t="str">
        <f t="shared" si="5"/>
        <v/>
      </c>
      <c r="K42" s="6"/>
      <c r="L42" s="16"/>
    </row>
    <row r="43" spans="1:12">
      <c r="A43" s="16"/>
      <c r="B43" s="16"/>
      <c r="C43" s="6"/>
      <c r="D43" s="7"/>
      <c r="E43" s="16"/>
      <c r="F43" s="16"/>
      <c r="G43" s="7" t="str">
        <f t="shared" si="3"/>
        <v/>
      </c>
      <c r="H43" s="16"/>
      <c r="I43" s="16" t="str">
        <f t="shared" si="4"/>
        <v/>
      </c>
      <c r="J43" s="7" t="str">
        <f t="shared" si="5"/>
        <v/>
      </c>
      <c r="K43" s="6"/>
      <c r="L43" s="16"/>
    </row>
    <row r="44" spans="1:12">
      <c r="A44" s="16"/>
      <c r="B44" s="16"/>
      <c r="C44" s="6"/>
      <c r="D44" s="7"/>
      <c r="E44" s="16"/>
      <c r="F44" s="16"/>
      <c r="G44" s="7" t="str">
        <f t="shared" si="3"/>
        <v/>
      </c>
      <c r="H44" s="16"/>
      <c r="I44" s="16" t="str">
        <f t="shared" si="4"/>
        <v/>
      </c>
      <c r="J44" s="7" t="str">
        <f t="shared" si="5"/>
        <v/>
      </c>
      <c r="K44" s="6"/>
      <c r="L44" s="16"/>
    </row>
    <row r="45" spans="1:12">
      <c r="A45" s="16"/>
      <c r="B45" s="16"/>
      <c r="C45" s="6"/>
      <c r="D45" s="7"/>
      <c r="E45" s="16"/>
      <c r="F45" s="16"/>
      <c r="G45" s="7" t="str">
        <f t="shared" si="3"/>
        <v/>
      </c>
      <c r="H45" s="16"/>
      <c r="I45" s="16" t="str">
        <f t="shared" si="4"/>
        <v/>
      </c>
      <c r="J45" s="7" t="str">
        <f t="shared" si="5"/>
        <v/>
      </c>
      <c r="K45" s="6"/>
      <c r="L45" s="16"/>
    </row>
    <row r="46" spans="1:12">
      <c r="A46" s="16"/>
      <c r="B46" s="16"/>
      <c r="C46" s="6"/>
      <c r="D46" s="7"/>
      <c r="E46" s="16"/>
      <c r="F46" s="16"/>
      <c r="G46" s="7" t="str">
        <f t="shared" si="3"/>
        <v/>
      </c>
      <c r="H46" s="16"/>
      <c r="I46" s="16" t="str">
        <f t="shared" si="4"/>
        <v/>
      </c>
      <c r="J46" s="7" t="str">
        <f t="shared" si="5"/>
        <v/>
      </c>
      <c r="K46" s="6"/>
      <c r="L46" s="16"/>
    </row>
    <row r="47" spans="1:12">
      <c r="A47" s="16"/>
      <c r="B47" s="16"/>
      <c r="C47" s="6"/>
      <c r="D47" s="7"/>
      <c r="E47" s="16"/>
      <c r="F47" s="16"/>
      <c r="G47" s="7" t="str">
        <f t="shared" si="3"/>
        <v/>
      </c>
      <c r="H47" s="16"/>
      <c r="I47" s="16" t="str">
        <f t="shared" si="4"/>
        <v/>
      </c>
      <c r="J47" s="7" t="str">
        <f t="shared" si="5"/>
        <v/>
      </c>
      <c r="K47" s="6"/>
      <c r="L47" s="16"/>
    </row>
    <row r="48" spans="1:12">
      <c r="A48" s="16"/>
      <c r="B48" s="16"/>
      <c r="C48" s="6"/>
      <c r="D48" s="7"/>
      <c r="E48" s="16"/>
      <c r="F48" s="16"/>
      <c r="G48" s="7" t="str">
        <f t="shared" si="3"/>
        <v/>
      </c>
      <c r="H48" s="16"/>
      <c r="I48" s="16" t="str">
        <f t="shared" si="4"/>
        <v/>
      </c>
      <c r="J48" s="7" t="str">
        <f t="shared" si="5"/>
        <v/>
      </c>
      <c r="K48" s="6"/>
      <c r="L48" s="16"/>
    </row>
    <row r="49" spans="1:12">
      <c r="A49" s="16"/>
      <c r="B49" s="16"/>
      <c r="C49" s="6"/>
      <c r="D49" s="7"/>
      <c r="E49" s="16"/>
      <c r="F49" s="16"/>
      <c r="G49" s="7" t="str">
        <f t="shared" si="3"/>
        <v/>
      </c>
      <c r="H49" s="16"/>
      <c r="I49" s="16" t="str">
        <f t="shared" si="4"/>
        <v/>
      </c>
      <c r="J49" s="7" t="str">
        <f t="shared" si="5"/>
        <v/>
      </c>
      <c r="K49" s="6"/>
      <c r="L49" s="16"/>
    </row>
    <row r="50" spans="1:12">
      <c r="A50" s="16"/>
      <c r="B50" s="16"/>
      <c r="C50" s="6"/>
      <c r="D50" s="7"/>
      <c r="E50" s="16"/>
      <c r="F50" s="16"/>
      <c r="G50" s="7" t="str">
        <f t="shared" si="3"/>
        <v/>
      </c>
      <c r="H50" s="16"/>
      <c r="I50" s="16" t="str">
        <f t="shared" si="4"/>
        <v/>
      </c>
      <c r="J50" s="7" t="str">
        <f t="shared" si="5"/>
        <v/>
      </c>
      <c r="K50" s="6"/>
      <c r="L50" s="16"/>
    </row>
    <row r="51" spans="1:12">
      <c r="A51" s="16"/>
      <c r="B51" s="16"/>
      <c r="C51" s="6"/>
      <c r="D51" s="7"/>
      <c r="E51" s="16"/>
      <c r="F51" s="16"/>
      <c r="G51" s="7" t="str">
        <f t="shared" si="3"/>
        <v/>
      </c>
      <c r="H51" s="16"/>
      <c r="I51" s="16" t="str">
        <f t="shared" si="4"/>
        <v/>
      </c>
      <c r="J51" s="7" t="str">
        <f t="shared" si="5"/>
        <v/>
      </c>
      <c r="K51" s="6"/>
      <c r="L51" s="16"/>
    </row>
    <row r="52" spans="1:12">
      <c r="A52" s="16"/>
      <c r="B52" s="16"/>
      <c r="C52" s="6"/>
      <c r="D52" s="7"/>
      <c r="E52" s="16"/>
      <c r="F52" s="16"/>
      <c r="G52" s="7" t="str">
        <f t="shared" si="3"/>
        <v/>
      </c>
      <c r="H52" s="16"/>
      <c r="I52" s="16" t="str">
        <f t="shared" si="4"/>
        <v/>
      </c>
      <c r="J52" s="7" t="str">
        <f t="shared" si="5"/>
        <v/>
      </c>
      <c r="K52" s="6"/>
      <c r="L52" s="16"/>
    </row>
    <row r="53" spans="1:12">
      <c r="A53" s="16"/>
      <c r="B53" s="16"/>
      <c r="C53" s="6"/>
      <c r="D53" s="7"/>
      <c r="E53" s="16"/>
      <c r="F53" s="16"/>
      <c r="G53" s="7" t="str">
        <f t="shared" si="3"/>
        <v/>
      </c>
      <c r="H53" s="16"/>
      <c r="I53" s="16" t="str">
        <f t="shared" si="4"/>
        <v/>
      </c>
      <c r="J53" s="7" t="str">
        <f t="shared" si="5"/>
        <v/>
      </c>
      <c r="K53" s="6"/>
      <c r="L53" s="16"/>
    </row>
    <row r="54" spans="1:12">
      <c r="A54" s="16"/>
      <c r="B54" s="16"/>
      <c r="C54" s="6"/>
      <c r="D54" s="7"/>
      <c r="E54" s="16"/>
      <c r="F54" s="16"/>
      <c r="G54" s="7" t="str">
        <f t="shared" si="3"/>
        <v/>
      </c>
      <c r="H54" s="16"/>
      <c r="I54" s="16" t="str">
        <f t="shared" si="4"/>
        <v/>
      </c>
      <c r="J54" s="7" t="str">
        <f t="shared" si="5"/>
        <v/>
      </c>
      <c r="K54" s="6"/>
      <c r="L54" s="16"/>
    </row>
    <row r="55" spans="1:12">
      <c r="A55" s="16"/>
      <c r="B55" s="16"/>
      <c r="C55" s="6"/>
      <c r="D55" s="7"/>
      <c r="E55" s="16"/>
      <c r="F55" s="16"/>
      <c r="G55" s="7" t="str">
        <f t="shared" si="3"/>
        <v/>
      </c>
      <c r="H55" s="16"/>
      <c r="I55" s="16" t="str">
        <f t="shared" si="4"/>
        <v/>
      </c>
      <c r="J55" s="7" t="str">
        <f t="shared" si="5"/>
        <v/>
      </c>
      <c r="K55" s="6"/>
      <c r="L55" s="16"/>
    </row>
    <row r="56" spans="1:12">
      <c r="A56" s="16"/>
      <c r="B56" s="16"/>
      <c r="C56" s="6"/>
      <c r="D56" s="7"/>
      <c r="E56" s="16"/>
      <c r="F56" s="16"/>
      <c r="G56" s="7" t="str">
        <f t="shared" si="3"/>
        <v/>
      </c>
      <c r="H56" s="16"/>
      <c r="I56" s="16" t="str">
        <f t="shared" si="4"/>
        <v/>
      </c>
      <c r="J56" s="7" t="str">
        <f t="shared" si="5"/>
        <v/>
      </c>
      <c r="K56" s="6"/>
      <c r="L56" s="16"/>
    </row>
    <row r="57" spans="1:12">
      <c r="A57" s="16"/>
      <c r="B57" s="16"/>
      <c r="C57" s="6"/>
      <c r="D57" s="7"/>
      <c r="E57" s="16"/>
      <c r="F57" s="16"/>
      <c r="G57" s="7" t="str">
        <f t="shared" si="3"/>
        <v/>
      </c>
      <c r="H57" s="16"/>
      <c r="I57" s="16" t="str">
        <f t="shared" si="4"/>
        <v/>
      </c>
      <c r="J57" s="7" t="str">
        <f t="shared" si="5"/>
        <v/>
      </c>
      <c r="K57" s="6"/>
      <c r="L57" s="16"/>
    </row>
    <row r="58" spans="1:12">
      <c r="A58" s="16"/>
      <c r="B58" s="16"/>
      <c r="C58" s="6"/>
      <c r="D58" s="7"/>
      <c r="E58" s="16"/>
      <c r="F58" s="16"/>
      <c r="G58" s="7" t="str">
        <f t="shared" si="3"/>
        <v/>
      </c>
      <c r="H58" s="16"/>
      <c r="I58" s="16" t="str">
        <f t="shared" si="4"/>
        <v/>
      </c>
      <c r="J58" s="7" t="str">
        <f t="shared" si="5"/>
        <v/>
      </c>
      <c r="K58" s="6"/>
      <c r="L58" s="16"/>
    </row>
    <row r="59" spans="1:12">
      <c r="A59" s="16"/>
      <c r="B59" s="16"/>
      <c r="C59" s="6"/>
      <c r="D59" s="7"/>
      <c r="E59" s="16"/>
      <c r="F59" s="16"/>
      <c r="G59" s="7" t="str">
        <f t="shared" si="3"/>
        <v/>
      </c>
      <c r="H59" s="16"/>
      <c r="I59" s="16" t="str">
        <f t="shared" si="4"/>
        <v/>
      </c>
      <c r="J59" s="7" t="str">
        <f t="shared" si="5"/>
        <v/>
      </c>
      <c r="K59" s="6"/>
      <c r="L59" s="16"/>
    </row>
    <row r="60" spans="1:12">
      <c r="A60" s="16"/>
      <c r="B60" s="16"/>
      <c r="C60" s="6"/>
      <c r="D60" s="7"/>
      <c r="E60" s="16"/>
      <c r="F60" s="16"/>
      <c r="G60" s="7" t="str">
        <f t="shared" si="3"/>
        <v/>
      </c>
      <c r="H60" s="16"/>
      <c r="I60" s="16" t="str">
        <f t="shared" si="4"/>
        <v/>
      </c>
      <c r="J60" s="7" t="str">
        <f t="shared" si="5"/>
        <v/>
      </c>
      <c r="K60" s="6"/>
      <c r="L60" s="16"/>
    </row>
    <row r="61" spans="1:12">
      <c r="A61" s="16"/>
      <c r="B61" s="16"/>
      <c r="C61" s="6"/>
      <c r="D61" s="7"/>
      <c r="E61" s="16"/>
      <c r="F61" s="16"/>
      <c r="G61" s="7" t="str">
        <f t="shared" si="3"/>
        <v/>
      </c>
      <c r="H61" s="16"/>
      <c r="I61" s="16" t="str">
        <f t="shared" si="4"/>
        <v/>
      </c>
      <c r="J61" s="7" t="str">
        <f t="shared" si="5"/>
        <v/>
      </c>
      <c r="K61" s="6"/>
      <c r="L61" s="16"/>
    </row>
    <row r="62" spans="1:12">
      <c r="A62" s="16"/>
      <c r="B62" s="16"/>
      <c r="C62" s="6"/>
      <c r="D62" s="7"/>
      <c r="E62" s="16"/>
      <c r="F62" s="16"/>
      <c r="G62" s="7" t="str">
        <f t="shared" si="3"/>
        <v/>
      </c>
      <c r="H62" s="16"/>
      <c r="I62" s="16" t="str">
        <f t="shared" si="4"/>
        <v/>
      </c>
      <c r="J62" s="7" t="str">
        <f t="shared" si="5"/>
        <v/>
      </c>
      <c r="K62" s="6"/>
      <c r="L62" s="16"/>
    </row>
    <row r="63" spans="1:12">
      <c r="A63" s="16"/>
      <c r="B63" s="16"/>
      <c r="C63" s="6"/>
      <c r="D63" s="7"/>
      <c r="E63" s="16"/>
      <c r="F63" s="16"/>
      <c r="G63" s="7" t="str">
        <f t="shared" si="3"/>
        <v/>
      </c>
      <c r="H63" s="16"/>
      <c r="I63" s="16" t="str">
        <f t="shared" si="4"/>
        <v/>
      </c>
      <c r="J63" s="7" t="str">
        <f t="shared" si="5"/>
        <v/>
      </c>
      <c r="K63" s="6"/>
      <c r="L63" s="16"/>
    </row>
    <row r="64" spans="1:12">
      <c r="A64" s="16"/>
      <c r="B64" s="16"/>
      <c r="C64" s="6"/>
      <c r="D64" s="7"/>
      <c r="E64" s="16"/>
      <c r="F64" s="16"/>
      <c r="G64" s="7" t="str">
        <f t="shared" si="3"/>
        <v/>
      </c>
      <c r="H64" s="16"/>
      <c r="I64" s="16" t="str">
        <f t="shared" si="4"/>
        <v/>
      </c>
      <c r="J64" s="7" t="str">
        <f t="shared" si="5"/>
        <v/>
      </c>
      <c r="K64" s="6"/>
      <c r="L64" s="16"/>
    </row>
    <row r="65" spans="1:12">
      <c r="A65" s="16"/>
      <c r="B65" s="16"/>
      <c r="C65" s="6"/>
      <c r="D65" s="7"/>
      <c r="E65" s="16"/>
      <c r="F65" s="16"/>
      <c r="G65" s="7" t="str">
        <f t="shared" si="3"/>
        <v/>
      </c>
      <c r="H65" s="16"/>
      <c r="I65" s="16" t="str">
        <f t="shared" si="4"/>
        <v/>
      </c>
      <c r="J65" s="7" t="str">
        <f t="shared" si="5"/>
        <v/>
      </c>
      <c r="K65" s="6"/>
      <c r="L65" s="16"/>
    </row>
    <row r="66" spans="1:12">
      <c r="A66" s="16"/>
      <c r="B66" s="16"/>
      <c r="C66" s="6"/>
      <c r="D66" s="7"/>
      <c r="E66" s="16"/>
      <c r="F66" s="16"/>
      <c r="G66" s="7" t="str">
        <f t="shared" si="3"/>
        <v/>
      </c>
      <c r="H66" s="16"/>
      <c r="I66" s="16" t="str">
        <f t="shared" si="4"/>
        <v/>
      </c>
      <c r="J66" s="7" t="str">
        <f t="shared" si="5"/>
        <v/>
      </c>
      <c r="K66" s="6"/>
      <c r="L66" s="16"/>
    </row>
    <row r="67" spans="1:12">
      <c r="A67" s="16"/>
      <c r="B67" s="16"/>
      <c r="C67" s="6"/>
      <c r="D67" s="7"/>
      <c r="E67" s="16"/>
      <c r="F67" s="16"/>
      <c r="G67" s="7" t="str">
        <f t="shared" si="3"/>
        <v/>
      </c>
      <c r="H67" s="16"/>
      <c r="I67" s="16" t="str">
        <f t="shared" si="4"/>
        <v/>
      </c>
      <c r="J67" s="7" t="str">
        <f t="shared" si="5"/>
        <v/>
      </c>
      <c r="K67" s="6"/>
      <c r="L67" s="16"/>
    </row>
    <row r="68" spans="1:12">
      <c r="A68" s="16"/>
      <c r="B68" s="16"/>
      <c r="C68" s="6"/>
      <c r="D68" s="7"/>
      <c r="E68" s="16"/>
      <c r="F68" s="16"/>
      <c r="G68" s="7" t="str">
        <f t="shared" ref="G68:G103" si="6">IFERROR(D68/E68,"")</f>
        <v/>
      </c>
      <c r="H68" s="16"/>
      <c r="I68" s="16" t="str">
        <f t="shared" ref="I68:I99" si="7">IF(E68="","",MAX(E68-H68,0))</f>
        <v/>
      </c>
      <c r="J68" s="7" t="str">
        <f t="shared" ref="J68:J99" si="8">IF(G68="","",G68*I68)</f>
        <v/>
      </c>
      <c r="K68" s="6"/>
      <c r="L68" s="16"/>
    </row>
    <row r="69" spans="1:12">
      <c r="A69" s="16"/>
      <c r="B69" s="16"/>
      <c r="C69" s="6"/>
      <c r="D69" s="7"/>
      <c r="E69" s="16"/>
      <c r="F69" s="16"/>
      <c r="G69" s="7" t="str">
        <f t="shared" si="6"/>
        <v/>
      </c>
      <c r="H69" s="16"/>
      <c r="I69" s="16" t="str">
        <f t="shared" si="7"/>
        <v/>
      </c>
      <c r="J69" s="7" t="str">
        <f t="shared" si="8"/>
        <v/>
      </c>
      <c r="K69" s="6"/>
      <c r="L69" s="16"/>
    </row>
    <row r="70" spans="1:12">
      <c r="A70" s="16"/>
      <c r="B70" s="16"/>
      <c r="C70" s="6"/>
      <c r="D70" s="7"/>
      <c r="E70" s="16"/>
      <c r="F70" s="16"/>
      <c r="G70" s="7" t="str">
        <f t="shared" si="6"/>
        <v/>
      </c>
      <c r="H70" s="16"/>
      <c r="I70" s="16" t="str">
        <f t="shared" si="7"/>
        <v/>
      </c>
      <c r="J70" s="7" t="str">
        <f t="shared" si="8"/>
        <v/>
      </c>
      <c r="K70" s="6"/>
      <c r="L70" s="16"/>
    </row>
    <row r="71" spans="1:12">
      <c r="A71" s="16"/>
      <c r="B71" s="16"/>
      <c r="C71" s="6"/>
      <c r="D71" s="7"/>
      <c r="E71" s="16"/>
      <c r="F71" s="16"/>
      <c r="G71" s="7" t="str">
        <f t="shared" si="6"/>
        <v/>
      </c>
      <c r="H71" s="16"/>
      <c r="I71" s="16" t="str">
        <f t="shared" si="7"/>
        <v/>
      </c>
      <c r="J71" s="7" t="str">
        <f t="shared" si="8"/>
        <v/>
      </c>
      <c r="K71" s="6"/>
      <c r="L71" s="16"/>
    </row>
    <row r="72" spans="1:12">
      <c r="A72" s="16"/>
      <c r="B72" s="16"/>
      <c r="C72" s="6"/>
      <c r="D72" s="7"/>
      <c r="E72" s="16"/>
      <c r="F72" s="16"/>
      <c r="G72" s="7" t="str">
        <f t="shared" si="6"/>
        <v/>
      </c>
      <c r="H72" s="16"/>
      <c r="I72" s="16" t="str">
        <f t="shared" si="7"/>
        <v/>
      </c>
      <c r="J72" s="7" t="str">
        <f t="shared" si="8"/>
        <v/>
      </c>
      <c r="K72" s="6"/>
      <c r="L72" s="16"/>
    </row>
    <row r="73" spans="1:12">
      <c r="A73" s="16"/>
      <c r="B73" s="16"/>
      <c r="C73" s="6"/>
      <c r="D73" s="7"/>
      <c r="E73" s="16"/>
      <c r="F73" s="16"/>
      <c r="G73" s="7" t="str">
        <f t="shared" si="6"/>
        <v/>
      </c>
      <c r="H73" s="16"/>
      <c r="I73" s="16" t="str">
        <f t="shared" si="7"/>
        <v/>
      </c>
      <c r="J73" s="7" t="str">
        <f t="shared" si="8"/>
        <v/>
      </c>
      <c r="K73" s="6"/>
      <c r="L73" s="16"/>
    </row>
    <row r="74" spans="1:12">
      <c r="A74" s="16"/>
      <c r="B74" s="16"/>
      <c r="C74" s="6"/>
      <c r="D74" s="7"/>
      <c r="E74" s="16"/>
      <c r="F74" s="16"/>
      <c r="G74" s="7" t="str">
        <f t="shared" si="6"/>
        <v/>
      </c>
      <c r="H74" s="16"/>
      <c r="I74" s="16" t="str">
        <f t="shared" si="7"/>
        <v/>
      </c>
      <c r="J74" s="7" t="str">
        <f t="shared" si="8"/>
        <v/>
      </c>
      <c r="K74" s="6"/>
      <c r="L74" s="16"/>
    </row>
    <row r="75" spans="1:12">
      <c r="A75" s="16"/>
      <c r="B75" s="16"/>
      <c r="C75" s="6"/>
      <c r="D75" s="7"/>
      <c r="E75" s="16"/>
      <c r="F75" s="16"/>
      <c r="G75" s="7" t="str">
        <f t="shared" si="6"/>
        <v/>
      </c>
      <c r="H75" s="16"/>
      <c r="I75" s="16" t="str">
        <f t="shared" si="7"/>
        <v/>
      </c>
      <c r="J75" s="7" t="str">
        <f t="shared" si="8"/>
        <v/>
      </c>
      <c r="K75" s="6"/>
      <c r="L75" s="16"/>
    </row>
    <row r="76" spans="1:12">
      <c r="A76" s="16"/>
      <c r="B76" s="16"/>
      <c r="C76" s="6"/>
      <c r="D76" s="7"/>
      <c r="E76" s="16"/>
      <c r="F76" s="16"/>
      <c r="G76" s="7" t="str">
        <f t="shared" si="6"/>
        <v/>
      </c>
      <c r="H76" s="16"/>
      <c r="I76" s="16" t="str">
        <f t="shared" si="7"/>
        <v/>
      </c>
      <c r="J76" s="7" t="str">
        <f t="shared" si="8"/>
        <v/>
      </c>
      <c r="K76" s="6"/>
      <c r="L76" s="16"/>
    </row>
    <row r="77" spans="1:12">
      <c r="A77" s="16"/>
      <c r="B77" s="16"/>
      <c r="C77" s="6"/>
      <c r="D77" s="7"/>
      <c r="E77" s="16"/>
      <c r="F77" s="16"/>
      <c r="G77" s="7" t="str">
        <f t="shared" si="6"/>
        <v/>
      </c>
      <c r="H77" s="16"/>
      <c r="I77" s="16" t="str">
        <f t="shared" si="7"/>
        <v/>
      </c>
      <c r="J77" s="7" t="str">
        <f t="shared" si="8"/>
        <v/>
      </c>
      <c r="K77" s="6"/>
      <c r="L77" s="16"/>
    </row>
    <row r="78" spans="1:12">
      <c r="A78" s="16"/>
      <c r="B78" s="16"/>
      <c r="C78" s="6"/>
      <c r="D78" s="7"/>
      <c r="E78" s="16"/>
      <c r="F78" s="16"/>
      <c r="G78" s="7" t="str">
        <f t="shared" si="6"/>
        <v/>
      </c>
      <c r="H78" s="16"/>
      <c r="I78" s="16" t="str">
        <f t="shared" si="7"/>
        <v/>
      </c>
      <c r="J78" s="7" t="str">
        <f t="shared" si="8"/>
        <v/>
      </c>
      <c r="K78" s="6"/>
      <c r="L78" s="16"/>
    </row>
    <row r="79" spans="1:12">
      <c r="A79" s="16"/>
      <c r="B79" s="16"/>
      <c r="C79" s="6"/>
      <c r="D79" s="7"/>
      <c r="E79" s="16"/>
      <c r="F79" s="16"/>
      <c r="G79" s="7" t="str">
        <f t="shared" si="6"/>
        <v/>
      </c>
      <c r="H79" s="16"/>
      <c r="I79" s="16" t="str">
        <f t="shared" si="7"/>
        <v/>
      </c>
      <c r="J79" s="7" t="str">
        <f t="shared" si="8"/>
        <v/>
      </c>
      <c r="K79" s="6"/>
      <c r="L79" s="16"/>
    </row>
    <row r="80" spans="1:12">
      <c r="A80" s="16"/>
      <c r="B80" s="16"/>
      <c r="C80" s="6"/>
      <c r="D80" s="7"/>
      <c r="E80" s="16"/>
      <c r="F80" s="16"/>
      <c r="G80" s="7" t="str">
        <f t="shared" si="6"/>
        <v/>
      </c>
      <c r="H80" s="16"/>
      <c r="I80" s="16" t="str">
        <f t="shared" si="7"/>
        <v/>
      </c>
      <c r="J80" s="7" t="str">
        <f t="shared" si="8"/>
        <v/>
      </c>
      <c r="K80" s="6"/>
      <c r="L80" s="16"/>
    </row>
    <row r="81" spans="1:12">
      <c r="A81" s="16"/>
      <c r="B81" s="16"/>
      <c r="C81" s="6"/>
      <c r="D81" s="7"/>
      <c r="E81" s="16"/>
      <c r="F81" s="16"/>
      <c r="G81" s="7" t="str">
        <f t="shared" si="6"/>
        <v/>
      </c>
      <c r="H81" s="16"/>
      <c r="I81" s="16" t="str">
        <f t="shared" si="7"/>
        <v/>
      </c>
      <c r="J81" s="7" t="str">
        <f t="shared" si="8"/>
        <v/>
      </c>
      <c r="K81" s="6"/>
      <c r="L81" s="16"/>
    </row>
    <row r="82" spans="1:12">
      <c r="A82" s="16"/>
      <c r="B82" s="16"/>
      <c r="C82" s="6"/>
      <c r="D82" s="7"/>
      <c r="E82" s="16"/>
      <c r="F82" s="16"/>
      <c r="G82" s="7" t="str">
        <f t="shared" si="6"/>
        <v/>
      </c>
      <c r="H82" s="16"/>
      <c r="I82" s="16" t="str">
        <f t="shared" si="7"/>
        <v/>
      </c>
      <c r="J82" s="7" t="str">
        <f t="shared" si="8"/>
        <v/>
      </c>
      <c r="K82" s="6"/>
      <c r="L82" s="16"/>
    </row>
    <row r="83" spans="1:12">
      <c r="A83" s="16"/>
      <c r="B83" s="16"/>
      <c r="C83" s="6"/>
      <c r="D83" s="7"/>
      <c r="E83" s="16"/>
      <c r="F83" s="16"/>
      <c r="G83" s="7" t="str">
        <f t="shared" si="6"/>
        <v/>
      </c>
      <c r="H83" s="16"/>
      <c r="I83" s="16" t="str">
        <f t="shared" si="7"/>
        <v/>
      </c>
      <c r="J83" s="7" t="str">
        <f t="shared" si="8"/>
        <v/>
      </c>
      <c r="K83" s="6"/>
      <c r="L83" s="16"/>
    </row>
    <row r="84" spans="1:12">
      <c r="A84" s="16"/>
      <c r="B84" s="16"/>
      <c r="C84" s="6"/>
      <c r="D84" s="7"/>
      <c r="E84" s="16"/>
      <c r="F84" s="16"/>
      <c r="G84" s="7" t="str">
        <f t="shared" si="6"/>
        <v/>
      </c>
      <c r="H84" s="16"/>
      <c r="I84" s="16" t="str">
        <f t="shared" si="7"/>
        <v/>
      </c>
      <c r="J84" s="7" t="str">
        <f t="shared" si="8"/>
        <v/>
      </c>
      <c r="K84" s="6"/>
      <c r="L84" s="16"/>
    </row>
    <row r="85" spans="1:12">
      <c r="A85" s="16"/>
      <c r="B85" s="16"/>
      <c r="C85" s="6"/>
      <c r="D85" s="7"/>
      <c r="E85" s="16"/>
      <c r="F85" s="16"/>
      <c r="G85" s="7" t="str">
        <f t="shared" si="6"/>
        <v/>
      </c>
      <c r="H85" s="16"/>
      <c r="I85" s="16" t="str">
        <f t="shared" si="7"/>
        <v/>
      </c>
      <c r="J85" s="7" t="str">
        <f t="shared" si="8"/>
        <v/>
      </c>
      <c r="K85" s="6"/>
      <c r="L85" s="16"/>
    </row>
    <row r="86" spans="1:12">
      <c r="A86" s="16"/>
      <c r="B86" s="16"/>
      <c r="C86" s="6"/>
      <c r="D86" s="7"/>
      <c r="E86" s="16"/>
      <c r="F86" s="16"/>
      <c r="G86" s="7" t="str">
        <f t="shared" si="6"/>
        <v/>
      </c>
      <c r="H86" s="16"/>
      <c r="I86" s="16" t="str">
        <f t="shared" si="7"/>
        <v/>
      </c>
      <c r="J86" s="7" t="str">
        <f t="shared" si="8"/>
        <v/>
      </c>
      <c r="K86" s="6"/>
      <c r="L86" s="16"/>
    </row>
    <row r="87" spans="1:12">
      <c r="A87" s="16"/>
      <c r="B87" s="16"/>
      <c r="C87" s="6"/>
      <c r="D87" s="7"/>
      <c r="E87" s="16"/>
      <c r="F87" s="16"/>
      <c r="G87" s="7" t="str">
        <f t="shared" si="6"/>
        <v/>
      </c>
      <c r="H87" s="16"/>
      <c r="I87" s="16" t="str">
        <f t="shared" si="7"/>
        <v/>
      </c>
      <c r="J87" s="7" t="str">
        <f t="shared" si="8"/>
        <v/>
      </c>
      <c r="K87" s="6"/>
      <c r="L87" s="16"/>
    </row>
    <row r="88" spans="1:12">
      <c r="A88" s="16"/>
      <c r="B88" s="16"/>
      <c r="C88" s="6"/>
      <c r="D88" s="7"/>
      <c r="E88" s="16"/>
      <c r="F88" s="16"/>
      <c r="G88" s="7" t="str">
        <f t="shared" si="6"/>
        <v/>
      </c>
      <c r="H88" s="16"/>
      <c r="I88" s="16" t="str">
        <f t="shared" si="7"/>
        <v/>
      </c>
      <c r="J88" s="7" t="str">
        <f t="shared" si="8"/>
        <v/>
      </c>
      <c r="K88" s="6"/>
      <c r="L88" s="16"/>
    </row>
    <row r="89" spans="1:12">
      <c r="A89" s="16"/>
      <c r="B89" s="16"/>
      <c r="C89" s="6"/>
      <c r="D89" s="7"/>
      <c r="E89" s="16"/>
      <c r="F89" s="16"/>
      <c r="G89" s="7" t="str">
        <f t="shared" si="6"/>
        <v/>
      </c>
      <c r="H89" s="16"/>
      <c r="I89" s="16" t="str">
        <f t="shared" si="7"/>
        <v/>
      </c>
      <c r="J89" s="7" t="str">
        <f t="shared" si="8"/>
        <v/>
      </c>
      <c r="K89" s="6"/>
      <c r="L89" s="16"/>
    </row>
    <row r="90" spans="1:12">
      <c r="A90" s="16"/>
      <c r="B90" s="16"/>
      <c r="C90" s="6"/>
      <c r="D90" s="7"/>
      <c r="E90" s="16"/>
      <c r="F90" s="16"/>
      <c r="G90" s="7" t="str">
        <f t="shared" si="6"/>
        <v/>
      </c>
      <c r="H90" s="16"/>
      <c r="I90" s="16" t="str">
        <f t="shared" si="7"/>
        <v/>
      </c>
      <c r="J90" s="7" t="str">
        <f t="shared" si="8"/>
        <v/>
      </c>
      <c r="K90" s="6"/>
      <c r="L90" s="16"/>
    </row>
    <row r="91" spans="1:12">
      <c r="A91" s="16"/>
      <c r="B91" s="16"/>
      <c r="C91" s="6"/>
      <c r="D91" s="7"/>
      <c r="E91" s="16"/>
      <c r="F91" s="16"/>
      <c r="G91" s="7" t="str">
        <f t="shared" si="6"/>
        <v/>
      </c>
      <c r="H91" s="16"/>
      <c r="I91" s="16" t="str">
        <f t="shared" si="7"/>
        <v/>
      </c>
      <c r="J91" s="7" t="str">
        <f t="shared" si="8"/>
        <v/>
      </c>
      <c r="K91" s="6"/>
      <c r="L91" s="16"/>
    </row>
    <row r="92" spans="1:12">
      <c r="A92" s="16"/>
      <c r="B92" s="16"/>
      <c r="C92" s="6"/>
      <c r="D92" s="7"/>
      <c r="E92" s="16"/>
      <c r="F92" s="16"/>
      <c r="G92" s="7" t="str">
        <f t="shared" si="6"/>
        <v/>
      </c>
      <c r="H92" s="16"/>
      <c r="I92" s="16" t="str">
        <f t="shared" si="7"/>
        <v/>
      </c>
      <c r="J92" s="7" t="str">
        <f t="shared" si="8"/>
        <v/>
      </c>
      <c r="K92" s="6"/>
      <c r="L92" s="16"/>
    </row>
    <row r="93" spans="1:12">
      <c r="A93" s="16"/>
      <c r="B93" s="16"/>
      <c r="C93" s="6"/>
      <c r="D93" s="7"/>
      <c r="E93" s="16"/>
      <c r="F93" s="16"/>
      <c r="G93" s="7" t="str">
        <f t="shared" si="6"/>
        <v/>
      </c>
      <c r="H93" s="16"/>
      <c r="I93" s="16" t="str">
        <f t="shared" si="7"/>
        <v/>
      </c>
      <c r="J93" s="7" t="str">
        <f t="shared" si="8"/>
        <v/>
      </c>
      <c r="K93" s="6"/>
      <c r="L93" s="16"/>
    </row>
    <row r="94" spans="1:12">
      <c r="A94" s="16"/>
      <c r="B94" s="16"/>
      <c r="C94" s="6"/>
      <c r="D94" s="7"/>
      <c r="E94" s="16"/>
      <c r="F94" s="16"/>
      <c r="G94" s="7" t="str">
        <f t="shared" si="6"/>
        <v/>
      </c>
      <c r="H94" s="16"/>
      <c r="I94" s="16" t="str">
        <f t="shared" si="7"/>
        <v/>
      </c>
      <c r="J94" s="7" t="str">
        <f t="shared" si="8"/>
        <v/>
      </c>
      <c r="K94" s="6"/>
      <c r="L94" s="16"/>
    </row>
    <row r="95" spans="1:12">
      <c r="A95" s="16"/>
      <c r="B95" s="16"/>
      <c r="C95" s="6"/>
      <c r="D95" s="7"/>
      <c r="E95" s="16"/>
      <c r="F95" s="16"/>
      <c r="G95" s="7" t="str">
        <f t="shared" si="6"/>
        <v/>
      </c>
      <c r="H95" s="16"/>
      <c r="I95" s="16" t="str">
        <f t="shared" si="7"/>
        <v/>
      </c>
      <c r="J95" s="7" t="str">
        <f t="shared" si="8"/>
        <v/>
      </c>
      <c r="K95" s="6"/>
      <c r="L95" s="16"/>
    </row>
    <row r="96" spans="1:12">
      <c r="A96" s="16"/>
      <c r="B96" s="16"/>
      <c r="C96" s="6"/>
      <c r="D96" s="7"/>
      <c r="E96" s="16"/>
      <c r="F96" s="16"/>
      <c r="G96" s="7" t="str">
        <f t="shared" si="6"/>
        <v/>
      </c>
      <c r="H96" s="16"/>
      <c r="I96" s="16" t="str">
        <f t="shared" si="7"/>
        <v/>
      </c>
      <c r="J96" s="7" t="str">
        <f t="shared" si="8"/>
        <v/>
      </c>
      <c r="K96" s="6"/>
      <c r="L96" s="16"/>
    </row>
    <row r="97" spans="1:12">
      <c r="A97" s="16"/>
      <c r="B97" s="16"/>
      <c r="C97" s="6"/>
      <c r="D97" s="7"/>
      <c r="E97" s="16"/>
      <c r="F97" s="16"/>
      <c r="G97" s="7" t="str">
        <f t="shared" si="6"/>
        <v/>
      </c>
      <c r="H97" s="16"/>
      <c r="I97" s="16" t="str">
        <f t="shared" si="7"/>
        <v/>
      </c>
      <c r="J97" s="7" t="str">
        <f t="shared" si="8"/>
        <v/>
      </c>
      <c r="K97" s="6"/>
      <c r="L97" s="16"/>
    </row>
    <row r="98" spans="1:12">
      <c r="A98" s="16"/>
      <c r="B98" s="16"/>
      <c r="C98" s="6"/>
      <c r="D98" s="7"/>
      <c r="E98" s="16"/>
      <c r="F98" s="16"/>
      <c r="G98" s="7" t="str">
        <f t="shared" si="6"/>
        <v/>
      </c>
      <c r="H98" s="16"/>
      <c r="I98" s="16" t="str">
        <f t="shared" si="7"/>
        <v/>
      </c>
      <c r="J98" s="7" t="str">
        <f t="shared" si="8"/>
        <v/>
      </c>
      <c r="K98" s="6"/>
      <c r="L98" s="16"/>
    </row>
    <row r="99" spans="1:12">
      <c r="A99" s="16"/>
      <c r="B99" s="16"/>
      <c r="C99" s="6"/>
      <c r="D99" s="7"/>
      <c r="E99" s="16"/>
      <c r="F99" s="16"/>
      <c r="G99" s="7" t="str">
        <f t="shared" si="6"/>
        <v/>
      </c>
      <c r="H99" s="16"/>
      <c r="I99" s="16" t="str">
        <f t="shared" si="7"/>
        <v/>
      </c>
      <c r="J99" s="7" t="str">
        <f t="shared" si="8"/>
        <v/>
      </c>
      <c r="K99" s="6"/>
      <c r="L99" s="16"/>
    </row>
    <row r="100" spans="1:12">
      <c r="A100" s="16"/>
      <c r="B100" s="16"/>
      <c r="C100" s="6"/>
      <c r="D100" s="7"/>
      <c r="E100" s="16"/>
      <c r="F100" s="16"/>
      <c r="G100" s="7" t="str">
        <f t="shared" si="6"/>
        <v/>
      </c>
      <c r="H100" s="16"/>
      <c r="I100" s="16" t="str">
        <f t="shared" ref="I100:I103" si="9">IF(E100="","",MAX(E100-H100,0))</f>
        <v/>
      </c>
      <c r="J100" s="7" t="str">
        <f t="shared" ref="J100:J103" si="10">IF(G100="","",G100*I100)</f>
        <v/>
      </c>
      <c r="K100" s="6"/>
      <c r="L100" s="16"/>
    </row>
    <row r="101" spans="1:12">
      <c r="A101" s="16"/>
      <c r="B101" s="16"/>
      <c r="C101" s="6"/>
      <c r="D101" s="7"/>
      <c r="E101" s="16"/>
      <c r="F101" s="16"/>
      <c r="G101" s="7" t="str">
        <f t="shared" si="6"/>
        <v/>
      </c>
      <c r="H101" s="16"/>
      <c r="I101" s="16" t="str">
        <f t="shared" si="9"/>
        <v/>
      </c>
      <c r="J101" s="7" t="str">
        <f t="shared" si="10"/>
        <v/>
      </c>
      <c r="K101" s="6"/>
      <c r="L101" s="16"/>
    </row>
    <row r="102" spans="1:12">
      <c r="A102" s="16"/>
      <c r="B102" s="16"/>
      <c r="C102" s="6"/>
      <c r="D102" s="7"/>
      <c r="E102" s="16"/>
      <c r="F102" s="16"/>
      <c r="G102" s="7" t="str">
        <f t="shared" si="6"/>
        <v/>
      </c>
      <c r="H102" s="16"/>
      <c r="I102" s="16" t="str">
        <f t="shared" si="9"/>
        <v/>
      </c>
      <c r="J102" s="7" t="str">
        <f t="shared" si="10"/>
        <v/>
      </c>
      <c r="K102" s="6"/>
      <c r="L102" s="16"/>
    </row>
    <row r="103" spans="1:12">
      <c r="A103" s="16"/>
      <c r="B103" s="16"/>
      <c r="C103" s="6"/>
      <c r="D103" s="7"/>
      <c r="E103" s="16"/>
      <c r="F103" s="16"/>
      <c r="G103" s="7" t="str">
        <f t="shared" si="6"/>
        <v/>
      </c>
      <c r="H103" s="16"/>
      <c r="I103" s="16" t="str">
        <f t="shared" si="9"/>
        <v/>
      </c>
      <c r="J103" s="7" t="str">
        <f t="shared" si="10"/>
        <v/>
      </c>
      <c r="K103" s="6"/>
      <c r="L103" s="16"/>
    </row>
  </sheetData>
  <mergeCells count="1">
    <mergeCell ref="A1:L1"/>
  </mergeCells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83"/>
  <sheetViews>
    <sheetView showGridLines="0" workbookViewId="0">
      <pane ySplit="3" topLeftCell="A4" activePane="bottomLeft" state="frozen"/>
      <selection pane="bottomLeft" activeCell="J6" sqref="J6"/>
    </sheetView>
  </sheetViews>
  <sheetFormatPr defaultRowHeight="14.45"/>
  <cols>
    <col min="1" max="1" width="24" customWidth="1"/>
    <col min="2" max="2" width="22" customWidth="1"/>
    <col min="3" max="4" width="15" customWidth="1"/>
    <col min="5" max="5" width="14" customWidth="1"/>
    <col min="6" max="6" width="16" customWidth="1"/>
    <col min="7" max="7" width="14" customWidth="1"/>
    <col min="8" max="8" width="15" customWidth="1"/>
    <col min="9" max="9" width="14" customWidth="1"/>
    <col min="10" max="10" width="18" customWidth="1"/>
    <col min="11" max="11" width="28" customWidth="1"/>
  </cols>
  <sheetData>
    <row r="1" spans="1:11" ht="30" customHeight="1">
      <c r="A1" s="18" t="s">
        <v>142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3" spans="1:11">
      <c r="A3" s="17" t="s">
        <v>143</v>
      </c>
      <c r="B3" s="17" t="s">
        <v>144</v>
      </c>
      <c r="C3" s="17" t="s">
        <v>145</v>
      </c>
      <c r="D3" s="17" t="s">
        <v>146</v>
      </c>
      <c r="E3" s="17" t="s">
        <v>147</v>
      </c>
      <c r="F3" s="17" t="s">
        <v>148</v>
      </c>
      <c r="G3" s="17" t="s">
        <v>100</v>
      </c>
      <c r="H3" s="17" t="s">
        <v>41</v>
      </c>
      <c r="I3" s="17" t="s">
        <v>149</v>
      </c>
      <c r="J3" s="17" t="s">
        <v>150</v>
      </c>
      <c r="K3" s="17" t="s">
        <v>42</v>
      </c>
    </row>
    <row r="4" spans="1:11">
      <c r="A4" s="16" t="s">
        <v>151</v>
      </c>
      <c r="B4" s="16" t="s">
        <v>47</v>
      </c>
      <c r="C4" s="7">
        <v>15000</v>
      </c>
      <c r="D4" s="7">
        <v>6744.29</v>
      </c>
      <c r="E4" s="8">
        <v>5.1999999999999998E-2</v>
      </c>
      <c r="F4" s="7">
        <v>720.21</v>
      </c>
      <c r="G4" s="16">
        <v>5</v>
      </c>
      <c r="H4" s="16" t="s">
        <v>152</v>
      </c>
      <c r="I4" s="16" t="s">
        <v>153</v>
      </c>
      <c r="J4" s="6">
        <v>46604</v>
      </c>
      <c r="K4" s="16" t="s">
        <v>154</v>
      </c>
    </row>
    <row r="5" spans="1:11">
      <c r="A5" s="16" t="s">
        <v>155</v>
      </c>
      <c r="B5" s="16" t="s">
        <v>47</v>
      </c>
      <c r="C5" s="7">
        <v>6064.28</v>
      </c>
      <c r="D5" s="7">
        <v>3430.37</v>
      </c>
      <c r="E5" s="8">
        <v>4.19E-2</v>
      </c>
      <c r="F5" s="7">
        <v>877.97</v>
      </c>
      <c r="G5" s="16">
        <v>30</v>
      </c>
      <c r="H5" s="16" t="s">
        <v>152</v>
      </c>
      <c r="I5" s="16" t="s">
        <v>156</v>
      </c>
      <c r="J5" s="6">
        <v>46417</v>
      </c>
      <c r="K5" s="16" t="s">
        <v>157</v>
      </c>
    </row>
    <row r="6" spans="1:11">
      <c r="A6" s="16"/>
      <c r="B6" s="16"/>
      <c r="C6" s="7"/>
      <c r="D6" s="7"/>
      <c r="E6" s="8"/>
      <c r="F6" s="7"/>
      <c r="G6" s="16"/>
      <c r="H6" s="16"/>
      <c r="I6" s="16"/>
      <c r="J6" s="6"/>
      <c r="K6" s="16"/>
    </row>
    <row r="7" spans="1:11">
      <c r="A7" s="16"/>
      <c r="B7" s="16"/>
      <c r="C7" s="7"/>
      <c r="D7" s="7"/>
      <c r="E7" s="8"/>
      <c r="F7" s="7"/>
      <c r="G7" s="16"/>
      <c r="H7" s="16"/>
      <c r="I7" s="16"/>
      <c r="J7" s="6"/>
      <c r="K7" s="16"/>
    </row>
    <row r="8" spans="1:11">
      <c r="A8" s="16"/>
      <c r="B8" s="16"/>
      <c r="C8" s="7"/>
      <c r="D8" s="7"/>
      <c r="E8" s="8"/>
      <c r="F8" s="7"/>
      <c r="G8" s="16"/>
      <c r="H8" s="16"/>
      <c r="I8" s="16"/>
      <c r="J8" s="6"/>
      <c r="K8" s="16"/>
    </row>
    <row r="9" spans="1:11">
      <c r="A9" s="16"/>
      <c r="B9" s="16"/>
      <c r="C9" s="7"/>
      <c r="D9" s="7"/>
      <c r="E9" s="8"/>
      <c r="F9" s="7"/>
      <c r="G9" s="16"/>
      <c r="H9" s="16"/>
      <c r="I9" s="16"/>
      <c r="J9" s="6"/>
      <c r="K9" s="16"/>
    </row>
    <row r="10" spans="1:11">
      <c r="A10" s="16"/>
      <c r="B10" s="16"/>
      <c r="C10" s="7"/>
      <c r="D10" s="7"/>
      <c r="E10" s="8"/>
      <c r="F10" s="7"/>
      <c r="G10" s="16"/>
      <c r="H10" s="16"/>
      <c r="I10" s="16"/>
      <c r="J10" s="6"/>
      <c r="K10" s="16"/>
    </row>
    <row r="11" spans="1:11">
      <c r="A11" s="16"/>
      <c r="B11" s="16"/>
      <c r="C11" s="7"/>
      <c r="D11" s="7"/>
      <c r="E11" s="8"/>
      <c r="F11" s="7"/>
      <c r="G11" s="16"/>
      <c r="H11" s="16"/>
      <c r="I11" s="16"/>
      <c r="J11" s="6"/>
      <c r="K11" s="16"/>
    </row>
    <row r="12" spans="1:11">
      <c r="A12" s="16"/>
      <c r="B12" s="16"/>
      <c r="C12" s="7"/>
      <c r="D12" s="7"/>
      <c r="E12" s="8"/>
      <c r="F12" s="7"/>
      <c r="G12" s="16"/>
      <c r="H12" s="16"/>
      <c r="I12" s="16"/>
      <c r="J12" s="6"/>
      <c r="K12" s="16"/>
    </row>
    <row r="13" spans="1:11">
      <c r="A13" s="16"/>
      <c r="B13" s="16"/>
      <c r="C13" s="7"/>
      <c r="D13" s="7"/>
      <c r="E13" s="8"/>
      <c r="F13" s="7"/>
      <c r="G13" s="16"/>
      <c r="H13" s="16"/>
      <c r="I13" s="16"/>
      <c r="J13" s="6"/>
      <c r="K13" s="16"/>
    </row>
    <row r="14" spans="1:11">
      <c r="A14" s="16"/>
      <c r="B14" s="16"/>
      <c r="C14" s="7"/>
      <c r="D14" s="7"/>
      <c r="E14" s="8"/>
      <c r="F14" s="7"/>
      <c r="G14" s="16"/>
      <c r="H14" s="16"/>
      <c r="I14" s="16"/>
      <c r="J14" s="6"/>
      <c r="K14" s="16"/>
    </row>
    <row r="15" spans="1:11">
      <c r="A15" s="16"/>
      <c r="B15" s="16"/>
      <c r="C15" s="7"/>
      <c r="D15" s="7"/>
      <c r="E15" s="8"/>
      <c r="F15" s="7"/>
      <c r="G15" s="16"/>
      <c r="H15" s="16"/>
      <c r="I15" s="16"/>
      <c r="J15" s="6"/>
      <c r="K15" s="16"/>
    </row>
    <row r="16" spans="1:11">
      <c r="A16" s="16"/>
      <c r="B16" s="16"/>
      <c r="C16" s="7"/>
      <c r="D16" s="7"/>
      <c r="E16" s="8"/>
      <c r="F16" s="7"/>
      <c r="G16" s="16"/>
      <c r="H16" s="16"/>
      <c r="I16" s="16"/>
      <c r="J16" s="6"/>
      <c r="K16" s="16"/>
    </row>
    <row r="17" spans="1:11">
      <c r="A17" s="16"/>
      <c r="B17" s="16"/>
      <c r="C17" s="7"/>
      <c r="D17" s="7"/>
      <c r="E17" s="8"/>
      <c r="F17" s="7"/>
      <c r="G17" s="16"/>
      <c r="H17" s="16"/>
      <c r="I17" s="16"/>
      <c r="J17" s="6"/>
      <c r="K17" s="16"/>
    </row>
    <row r="18" spans="1:11">
      <c r="A18" s="16"/>
      <c r="B18" s="16"/>
      <c r="C18" s="7"/>
      <c r="D18" s="7"/>
      <c r="E18" s="8"/>
      <c r="F18" s="7"/>
      <c r="G18" s="16"/>
      <c r="H18" s="16"/>
      <c r="I18" s="16"/>
      <c r="J18" s="6"/>
      <c r="K18" s="16"/>
    </row>
    <row r="19" spans="1:11">
      <c r="A19" s="16"/>
      <c r="B19" s="16"/>
      <c r="C19" s="7"/>
      <c r="D19" s="7"/>
      <c r="E19" s="8"/>
      <c r="F19" s="7"/>
      <c r="G19" s="16"/>
      <c r="H19" s="16"/>
      <c r="I19" s="16"/>
      <c r="J19" s="6"/>
      <c r="K19" s="16"/>
    </row>
    <row r="20" spans="1:11">
      <c r="A20" s="16"/>
      <c r="B20" s="16"/>
      <c r="C20" s="7"/>
      <c r="D20" s="7"/>
      <c r="E20" s="8"/>
      <c r="F20" s="7"/>
      <c r="G20" s="16"/>
      <c r="H20" s="16"/>
      <c r="I20" s="16"/>
      <c r="J20" s="6"/>
      <c r="K20" s="16"/>
    </row>
    <row r="21" spans="1:11">
      <c r="A21" s="16"/>
      <c r="B21" s="16"/>
      <c r="C21" s="7"/>
      <c r="D21" s="7"/>
      <c r="E21" s="8"/>
      <c r="F21" s="7"/>
      <c r="G21" s="16"/>
      <c r="H21" s="16"/>
      <c r="I21" s="16"/>
      <c r="J21" s="6"/>
      <c r="K21" s="16"/>
    </row>
    <row r="22" spans="1:11">
      <c r="A22" s="16"/>
      <c r="B22" s="16"/>
      <c r="C22" s="7"/>
      <c r="D22" s="7"/>
      <c r="E22" s="8"/>
      <c r="F22" s="7"/>
      <c r="G22" s="16"/>
      <c r="H22" s="16"/>
      <c r="I22" s="16"/>
      <c r="J22" s="6"/>
      <c r="K22" s="16"/>
    </row>
    <row r="23" spans="1:11">
      <c r="A23" s="16"/>
      <c r="B23" s="16"/>
      <c r="C23" s="7"/>
      <c r="D23" s="7"/>
      <c r="E23" s="8"/>
      <c r="F23" s="7"/>
      <c r="G23" s="16"/>
      <c r="H23" s="16"/>
      <c r="I23" s="16"/>
      <c r="J23" s="6"/>
      <c r="K23" s="16"/>
    </row>
    <row r="24" spans="1:11">
      <c r="A24" s="16"/>
      <c r="B24" s="16"/>
      <c r="C24" s="7"/>
      <c r="D24" s="7"/>
      <c r="E24" s="8"/>
      <c r="F24" s="7"/>
      <c r="G24" s="16"/>
      <c r="H24" s="16"/>
      <c r="I24" s="16"/>
      <c r="J24" s="6"/>
      <c r="K24" s="16"/>
    </row>
    <row r="25" spans="1:11">
      <c r="A25" s="16"/>
      <c r="B25" s="16"/>
      <c r="C25" s="7"/>
      <c r="D25" s="7"/>
      <c r="E25" s="8"/>
      <c r="F25" s="7"/>
      <c r="G25" s="16"/>
      <c r="H25" s="16"/>
      <c r="I25" s="16"/>
      <c r="J25" s="6"/>
      <c r="K25" s="16"/>
    </row>
    <row r="26" spans="1:11">
      <c r="A26" s="16"/>
      <c r="B26" s="16"/>
      <c r="C26" s="7"/>
      <c r="D26" s="7"/>
      <c r="E26" s="8"/>
      <c r="F26" s="7"/>
      <c r="G26" s="16"/>
      <c r="H26" s="16"/>
      <c r="I26" s="16"/>
      <c r="J26" s="6"/>
      <c r="K26" s="16"/>
    </row>
    <row r="27" spans="1:11">
      <c r="A27" s="16"/>
      <c r="B27" s="16"/>
      <c r="C27" s="7"/>
      <c r="D27" s="7"/>
      <c r="E27" s="8"/>
      <c r="F27" s="7"/>
      <c r="G27" s="16"/>
      <c r="H27" s="16"/>
      <c r="I27" s="16"/>
      <c r="J27" s="6"/>
      <c r="K27" s="16"/>
    </row>
    <row r="28" spans="1:11">
      <c r="A28" s="16"/>
      <c r="B28" s="16"/>
      <c r="C28" s="7"/>
      <c r="D28" s="7"/>
      <c r="E28" s="8"/>
      <c r="F28" s="7"/>
      <c r="G28" s="16"/>
      <c r="H28" s="16"/>
      <c r="I28" s="16"/>
      <c r="J28" s="6"/>
      <c r="K28" s="16"/>
    </row>
    <row r="29" spans="1:11">
      <c r="A29" s="16"/>
      <c r="B29" s="16"/>
      <c r="C29" s="7"/>
      <c r="D29" s="7"/>
      <c r="E29" s="8"/>
      <c r="F29" s="7"/>
      <c r="G29" s="16"/>
      <c r="H29" s="16"/>
      <c r="I29" s="16"/>
      <c r="J29" s="6"/>
      <c r="K29" s="16"/>
    </row>
    <row r="30" spans="1:11">
      <c r="A30" s="16"/>
      <c r="B30" s="16"/>
      <c r="C30" s="7"/>
      <c r="D30" s="7"/>
      <c r="E30" s="8"/>
      <c r="F30" s="7"/>
      <c r="G30" s="16"/>
      <c r="H30" s="16"/>
      <c r="I30" s="16"/>
      <c r="J30" s="6"/>
      <c r="K30" s="16"/>
    </row>
    <row r="31" spans="1:11">
      <c r="A31" s="16"/>
      <c r="B31" s="16"/>
      <c r="C31" s="7"/>
      <c r="D31" s="7"/>
      <c r="E31" s="8"/>
      <c r="F31" s="7"/>
      <c r="G31" s="16"/>
      <c r="H31" s="16"/>
      <c r="I31" s="16"/>
      <c r="J31" s="6"/>
      <c r="K31" s="16"/>
    </row>
    <row r="32" spans="1:11">
      <c r="A32" s="16"/>
      <c r="B32" s="16"/>
      <c r="C32" s="7"/>
      <c r="D32" s="7"/>
      <c r="E32" s="8"/>
      <c r="F32" s="7"/>
      <c r="G32" s="16"/>
      <c r="H32" s="16"/>
      <c r="I32" s="16"/>
      <c r="J32" s="6"/>
      <c r="K32" s="16"/>
    </row>
    <row r="33" spans="1:11">
      <c r="A33" s="16"/>
      <c r="B33" s="16"/>
      <c r="C33" s="7"/>
      <c r="D33" s="7"/>
      <c r="E33" s="8"/>
      <c r="F33" s="7"/>
      <c r="G33" s="16"/>
      <c r="H33" s="16"/>
      <c r="I33" s="16"/>
      <c r="J33" s="6"/>
      <c r="K33" s="16"/>
    </row>
    <row r="34" spans="1:11">
      <c r="A34" s="16"/>
      <c r="B34" s="16"/>
      <c r="C34" s="7"/>
      <c r="D34" s="7"/>
      <c r="E34" s="8"/>
      <c r="F34" s="7"/>
      <c r="G34" s="16"/>
      <c r="H34" s="16"/>
      <c r="I34" s="16"/>
      <c r="J34" s="6"/>
      <c r="K34" s="16"/>
    </row>
    <row r="35" spans="1:11">
      <c r="A35" s="16"/>
      <c r="B35" s="16"/>
      <c r="C35" s="7"/>
      <c r="D35" s="7"/>
      <c r="E35" s="8"/>
      <c r="F35" s="7"/>
      <c r="G35" s="16"/>
      <c r="H35" s="16"/>
      <c r="I35" s="16"/>
      <c r="J35" s="6"/>
      <c r="K35" s="16"/>
    </row>
    <row r="36" spans="1:11">
      <c r="A36" s="16"/>
      <c r="B36" s="16"/>
      <c r="C36" s="7"/>
      <c r="D36" s="7"/>
      <c r="E36" s="8"/>
      <c r="F36" s="7"/>
      <c r="G36" s="16"/>
      <c r="H36" s="16"/>
      <c r="I36" s="16"/>
      <c r="J36" s="6"/>
      <c r="K36" s="16"/>
    </row>
    <row r="37" spans="1:11">
      <c r="A37" s="16"/>
      <c r="B37" s="16"/>
      <c r="C37" s="7"/>
      <c r="D37" s="7"/>
      <c r="E37" s="8"/>
      <c r="F37" s="7"/>
      <c r="G37" s="16"/>
      <c r="H37" s="16"/>
      <c r="I37" s="16"/>
      <c r="J37" s="6"/>
      <c r="K37" s="16"/>
    </row>
    <row r="38" spans="1:11">
      <c r="A38" s="16"/>
      <c r="B38" s="16"/>
      <c r="C38" s="7"/>
      <c r="D38" s="7"/>
      <c r="E38" s="8"/>
      <c r="F38" s="7"/>
      <c r="G38" s="16"/>
      <c r="H38" s="16"/>
      <c r="I38" s="16"/>
      <c r="J38" s="6"/>
      <c r="K38" s="16"/>
    </row>
    <row r="39" spans="1:11">
      <c r="A39" s="16"/>
      <c r="B39" s="16"/>
      <c r="C39" s="7"/>
      <c r="D39" s="7"/>
      <c r="E39" s="8"/>
      <c r="F39" s="7"/>
      <c r="G39" s="16"/>
      <c r="H39" s="16"/>
      <c r="I39" s="16"/>
      <c r="J39" s="6"/>
      <c r="K39" s="16"/>
    </row>
    <row r="40" spans="1:11">
      <c r="A40" s="16"/>
      <c r="B40" s="16"/>
      <c r="C40" s="7"/>
      <c r="D40" s="7"/>
      <c r="E40" s="8"/>
      <c r="F40" s="7"/>
      <c r="G40" s="16"/>
      <c r="H40" s="16"/>
      <c r="I40" s="16"/>
      <c r="J40" s="6"/>
      <c r="K40" s="16"/>
    </row>
    <row r="41" spans="1:11">
      <c r="A41" s="16"/>
      <c r="B41" s="16"/>
      <c r="C41" s="7"/>
      <c r="D41" s="7"/>
      <c r="E41" s="8"/>
      <c r="F41" s="7"/>
      <c r="G41" s="16"/>
      <c r="H41" s="16"/>
      <c r="I41" s="16"/>
      <c r="J41" s="6"/>
      <c r="K41" s="16"/>
    </row>
    <row r="42" spans="1:11">
      <c r="A42" s="16"/>
      <c r="B42" s="16"/>
      <c r="C42" s="7"/>
      <c r="D42" s="7"/>
      <c r="E42" s="8"/>
      <c r="F42" s="7"/>
      <c r="G42" s="16"/>
      <c r="H42" s="16"/>
      <c r="I42" s="16"/>
      <c r="J42" s="6"/>
      <c r="K42" s="16"/>
    </row>
    <row r="43" spans="1:11">
      <c r="A43" s="16"/>
      <c r="B43" s="16"/>
      <c r="C43" s="7"/>
      <c r="D43" s="7"/>
      <c r="E43" s="8"/>
      <c r="F43" s="7"/>
      <c r="G43" s="16"/>
      <c r="H43" s="16"/>
      <c r="I43" s="16"/>
      <c r="J43" s="6"/>
      <c r="K43" s="16"/>
    </row>
    <row r="44" spans="1:11">
      <c r="A44" s="16"/>
      <c r="B44" s="16"/>
      <c r="C44" s="7"/>
      <c r="D44" s="7"/>
      <c r="E44" s="8"/>
      <c r="F44" s="7"/>
      <c r="G44" s="16"/>
      <c r="H44" s="16"/>
      <c r="I44" s="16"/>
      <c r="J44" s="6"/>
      <c r="K44" s="16"/>
    </row>
    <row r="45" spans="1:11">
      <c r="A45" s="16"/>
      <c r="B45" s="16"/>
      <c r="C45" s="7"/>
      <c r="D45" s="7"/>
      <c r="E45" s="8"/>
      <c r="F45" s="7"/>
      <c r="G45" s="16"/>
      <c r="H45" s="16"/>
      <c r="I45" s="16"/>
      <c r="J45" s="6"/>
      <c r="K45" s="16"/>
    </row>
    <row r="46" spans="1:11">
      <c r="A46" s="16"/>
      <c r="B46" s="16"/>
      <c r="C46" s="7"/>
      <c r="D46" s="7"/>
      <c r="E46" s="8"/>
      <c r="F46" s="7"/>
      <c r="G46" s="16"/>
      <c r="H46" s="16"/>
      <c r="I46" s="16"/>
      <c r="J46" s="6"/>
      <c r="K46" s="16"/>
    </row>
    <row r="47" spans="1:11">
      <c r="A47" s="16"/>
      <c r="B47" s="16"/>
      <c r="C47" s="7"/>
      <c r="D47" s="7"/>
      <c r="E47" s="8"/>
      <c r="F47" s="7"/>
      <c r="G47" s="16"/>
      <c r="H47" s="16"/>
      <c r="I47" s="16"/>
      <c r="J47" s="6"/>
      <c r="K47" s="16"/>
    </row>
    <row r="48" spans="1:11">
      <c r="A48" s="16"/>
      <c r="B48" s="16"/>
      <c r="C48" s="7"/>
      <c r="D48" s="7"/>
      <c r="E48" s="8"/>
      <c r="F48" s="7"/>
      <c r="G48" s="16"/>
      <c r="H48" s="16"/>
      <c r="I48" s="16"/>
      <c r="J48" s="6"/>
      <c r="K48" s="16"/>
    </row>
    <row r="49" spans="1:11">
      <c r="A49" s="16"/>
      <c r="B49" s="16"/>
      <c r="C49" s="7"/>
      <c r="D49" s="7"/>
      <c r="E49" s="8"/>
      <c r="F49" s="7"/>
      <c r="G49" s="16"/>
      <c r="H49" s="16"/>
      <c r="I49" s="16"/>
      <c r="J49" s="6"/>
      <c r="K49" s="16"/>
    </row>
    <row r="50" spans="1:11">
      <c r="A50" s="16"/>
      <c r="B50" s="16"/>
      <c r="C50" s="7"/>
      <c r="D50" s="7"/>
      <c r="E50" s="8"/>
      <c r="F50" s="7"/>
      <c r="G50" s="16"/>
      <c r="H50" s="16"/>
      <c r="I50" s="16"/>
      <c r="J50" s="6"/>
      <c r="K50" s="16"/>
    </row>
    <row r="51" spans="1:11">
      <c r="A51" s="16"/>
      <c r="B51" s="16"/>
      <c r="C51" s="7"/>
      <c r="D51" s="7"/>
      <c r="E51" s="8"/>
      <c r="F51" s="7"/>
      <c r="G51" s="16"/>
      <c r="H51" s="16"/>
      <c r="I51" s="16"/>
      <c r="J51" s="6"/>
      <c r="K51" s="16"/>
    </row>
    <row r="52" spans="1:11">
      <c r="A52" s="16"/>
      <c r="B52" s="16"/>
      <c r="C52" s="7"/>
      <c r="D52" s="7"/>
      <c r="E52" s="8"/>
      <c r="F52" s="7"/>
      <c r="G52" s="16"/>
      <c r="H52" s="16"/>
      <c r="I52" s="16"/>
      <c r="J52" s="6"/>
      <c r="K52" s="16"/>
    </row>
    <row r="53" spans="1:11">
      <c r="A53" s="16"/>
      <c r="B53" s="16"/>
      <c r="C53" s="7"/>
      <c r="D53" s="7"/>
      <c r="E53" s="8"/>
      <c r="F53" s="7"/>
      <c r="G53" s="16"/>
      <c r="H53" s="16"/>
      <c r="I53" s="16"/>
      <c r="J53" s="6"/>
      <c r="K53" s="16"/>
    </row>
    <row r="54" spans="1:11">
      <c r="A54" s="16"/>
      <c r="B54" s="16"/>
      <c r="C54" s="7"/>
      <c r="D54" s="7"/>
      <c r="E54" s="8"/>
      <c r="F54" s="7"/>
      <c r="G54" s="16"/>
      <c r="H54" s="16"/>
      <c r="I54" s="16"/>
      <c r="J54" s="6"/>
      <c r="K54" s="16"/>
    </row>
    <row r="55" spans="1:11">
      <c r="A55" s="16"/>
      <c r="B55" s="16"/>
      <c r="C55" s="7"/>
      <c r="D55" s="7"/>
      <c r="E55" s="8"/>
      <c r="F55" s="7"/>
      <c r="G55" s="16"/>
      <c r="H55" s="16"/>
      <c r="I55" s="16"/>
      <c r="J55" s="6"/>
      <c r="K55" s="16"/>
    </row>
    <row r="56" spans="1:11">
      <c r="A56" s="16"/>
      <c r="B56" s="16"/>
      <c r="C56" s="7"/>
      <c r="D56" s="7"/>
      <c r="E56" s="8"/>
      <c r="F56" s="7"/>
      <c r="G56" s="16"/>
      <c r="H56" s="16"/>
      <c r="I56" s="16"/>
      <c r="J56" s="6"/>
      <c r="K56" s="16"/>
    </row>
    <row r="57" spans="1:11">
      <c r="A57" s="16"/>
      <c r="B57" s="16"/>
      <c r="C57" s="7"/>
      <c r="D57" s="7"/>
      <c r="E57" s="8"/>
      <c r="F57" s="7"/>
      <c r="G57" s="16"/>
      <c r="H57" s="16"/>
      <c r="I57" s="16"/>
      <c r="J57" s="6"/>
      <c r="K57" s="16"/>
    </row>
    <row r="58" spans="1:11">
      <c r="A58" s="16"/>
      <c r="B58" s="16"/>
      <c r="C58" s="7"/>
      <c r="D58" s="7"/>
      <c r="E58" s="8"/>
      <c r="F58" s="7"/>
      <c r="G58" s="16"/>
      <c r="H58" s="16"/>
      <c r="I58" s="16"/>
      <c r="J58" s="6"/>
      <c r="K58" s="16"/>
    </row>
    <row r="59" spans="1:11">
      <c r="A59" s="16"/>
      <c r="B59" s="16"/>
      <c r="C59" s="7"/>
      <c r="D59" s="7"/>
      <c r="E59" s="8"/>
      <c r="F59" s="7"/>
      <c r="G59" s="16"/>
      <c r="H59" s="16"/>
      <c r="I59" s="16"/>
      <c r="J59" s="6"/>
      <c r="K59" s="16"/>
    </row>
    <row r="60" spans="1:11">
      <c r="A60" s="16"/>
      <c r="B60" s="16"/>
      <c r="C60" s="7"/>
      <c r="D60" s="7"/>
      <c r="E60" s="8"/>
      <c r="F60" s="7"/>
      <c r="G60" s="16"/>
      <c r="H60" s="16"/>
      <c r="I60" s="16"/>
      <c r="J60" s="6"/>
      <c r="K60" s="16"/>
    </row>
    <row r="61" spans="1:11">
      <c r="A61" s="16"/>
      <c r="B61" s="16"/>
      <c r="C61" s="7"/>
      <c r="D61" s="7"/>
      <c r="E61" s="8"/>
      <c r="F61" s="7"/>
      <c r="G61" s="16"/>
      <c r="H61" s="16"/>
      <c r="I61" s="16"/>
      <c r="J61" s="6"/>
      <c r="K61" s="16"/>
    </row>
    <row r="62" spans="1:11">
      <c r="A62" s="16"/>
      <c r="B62" s="16"/>
      <c r="C62" s="7"/>
      <c r="D62" s="7"/>
      <c r="E62" s="8"/>
      <c r="F62" s="7"/>
      <c r="G62" s="16"/>
      <c r="H62" s="16"/>
      <c r="I62" s="16"/>
      <c r="J62" s="6"/>
      <c r="K62" s="16"/>
    </row>
    <row r="63" spans="1:11">
      <c r="A63" s="16"/>
      <c r="B63" s="16"/>
      <c r="C63" s="7"/>
      <c r="D63" s="7"/>
      <c r="E63" s="8"/>
      <c r="F63" s="7"/>
      <c r="G63" s="16"/>
      <c r="H63" s="16"/>
      <c r="I63" s="16"/>
      <c r="J63" s="6"/>
      <c r="K63" s="16"/>
    </row>
    <row r="64" spans="1:11">
      <c r="A64" s="16"/>
      <c r="B64" s="16"/>
      <c r="C64" s="7"/>
      <c r="D64" s="7"/>
      <c r="E64" s="8"/>
      <c r="F64" s="7"/>
      <c r="G64" s="16"/>
      <c r="H64" s="16"/>
      <c r="I64" s="16"/>
      <c r="J64" s="6"/>
      <c r="K64" s="16"/>
    </row>
    <row r="65" spans="1:11">
      <c r="A65" s="16"/>
      <c r="B65" s="16"/>
      <c r="C65" s="7"/>
      <c r="D65" s="7"/>
      <c r="E65" s="8"/>
      <c r="F65" s="7"/>
      <c r="G65" s="16"/>
      <c r="H65" s="16"/>
      <c r="I65" s="16"/>
      <c r="J65" s="6"/>
      <c r="K65" s="16"/>
    </row>
    <row r="66" spans="1:11">
      <c r="A66" s="16"/>
      <c r="B66" s="16"/>
      <c r="C66" s="7"/>
      <c r="D66" s="7"/>
      <c r="E66" s="8"/>
      <c r="F66" s="7"/>
      <c r="G66" s="16"/>
      <c r="H66" s="16"/>
      <c r="I66" s="16"/>
      <c r="J66" s="6"/>
      <c r="K66" s="16"/>
    </row>
    <row r="67" spans="1:11">
      <c r="A67" s="16"/>
      <c r="B67" s="16"/>
      <c r="C67" s="7"/>
      <c r="D67" s="7"/>
      <c r="E67" s="8"/>
      <c r="F67" s="7"/>
      <c r="G67" s="16"/>
      <c r="H67" s="16"/>
      <c r="I67" s="16"/>
      <c r="J67" s="6"/>
      <c r="K67" s="16"/>
    </row>
    <row r="68" spans="1:11">
      <c r="A68" s="16"/>
      <c r="B68" s="16"/>
      <c r="C68" s="7"/>
      <c r="D68" s="7"/>
      <c r="E68" s="8"/>
      <c r="F68" s="7"/>
      <c r="G68" s="16"/>
      <c r="H68" s="16"/>
      <c r="I68" s="16"/>
      <c r="J68" s="6"/>
      <c r="K68" s="16"/>
    </row>
    <row r="69" spans="1:11">
      <c r="A69" s="16"/>
      <c r="B69" s="16"/>
      <c r="C69" s="7"/>
      <c r="D69" s="7"/>
      <c r="E69" s="8"/>
      <c r="F69" s="7"/>
      <c r="G69" s="16"/>
      <c r="H69" s="16"/>
      <c r="I69" s="16"/>
      <c r="J69" s="6"/>
      <c r="K69" s="16"/>
    </row>
    <row r="70" spans="1:11">
      <c r="A70" s="16"/>
      <c r="B70" s="16"/>
      <c r="C70" s="7"/>
      <c r="D70" s="7"/>
      <c r="E70" s="8"/>
      <c r="F70" s="7"/>
      <c r="G70" s="16"/>
      <c r="H70" s="16"/>
      <c r="I70" s="16"/>
      <c r="J70" s="6"/>
      <c r="K70" s="16"/>
    </row>
    <row r="71" spans="1:11">
      <c r="A71" s="16"/>
      <c r="B71" s="16"/>
      <c r="C71" s="7"/>
      <c r="D71" s="7"/>
      <c r="E71" s="8"/>
      <c r="F71" s="7"/>
      <c r="G71" s="16"/>
      <c r="H71" s="16"/>
      <c r="I71" s="16"/>
      <c r="J71" s="6"/>
      <c r="K71" s="16"/>
    </row>
    <row r="72" spans="1:11">
      <c r="A72" s="16"/>
      <c r="B72" s="16"/>
      <c r="C72" s="7"/>
      <c r="D72" s="7"/>
      <c r="E72" s="8"/>
      <c r="F72" s="7"/>
      <c r="G72" s="16"/>
      <c r="H72" s="16"/>
      <c r="I72" s="16"/>
      <c r="J72" s="6"/>
      <c r="K72" s="16"/>
    </row>
    <row r="73" spans="1:11">
      <c r="A73" s="16"/>
      <c r="B73" s="16"/>
      <c r="C73" s="7"/>
      <c r="D73" s="7"/>
      <c r="E73" s="8"/>
      <c r="F73" s="7"/>
      <c r="G73" s="16"/>
      <c r="H73" s="16"/>
      <c r="I73" s="16"/>
      <c r="J73" s="6"/>
      <c r="K73" s="16"/>
    </row>
    <row r="74" spans="1:11">
      <c r="A74" s="16"/>
      <c r="B74" s="16"/>
      <c r="C74" s="7"/>
      <c r="D74" s="7"/>
      <c r="E74" s="8"/>
      <c r="F74" s="7"/>
      <c r="G74" s="16"/>
      <c r="H74" s="16"/>
      <c r="I74" s="16"/>
      <c r="J74" s="6"/>
      <c r="K74" s="16"/>
    </row>
    <row r="75" spans="1:11">
      <c r="A75" s="16"/>
      <c r="B75" s="16"/>
      <c r="C75" s="7"/>
      <c r="D75" s="7"/>
      <c r="E75" s="8"/>
      <c r="F75" s="7"/>
      <c r="G75" s="16"/>
      <c r="H75" s="16"/>
      <c r="I75" s="16"/>
      <c r="J75" s="6"/>
      <c r="K75" s="16"/>
    </row>
    <row r="76" spans="1:11">
      <c r="A76" s="16"/>
      <c r="B76" s="16"/>
      <c r="C76" s="7"/>
      <c r="D76" s="7"/>
      <c r="E76" s="8"/>
      <c r="F76" s="7"/>
      <c r="G76" s="16"/>
      <c r="H76" s="16"/>
      <c r="I76" s="16"/>
      <c r="J76" s="6"/>
      <c r="K76" s="16"/>
    </row>
    <row r="77" spans="1:11">
      <c r="A77" s="16"/>
      <c r="B77" s="16"/>
      <c r="C77" s="7"/>
      <c r="D77" s="7"/>
      <c r="E77" s="8"/>
      <c r="F77" s="7"/>
      <c r="G77" s="16"/>
      <c r="H77" s="16"/>
      <c r="I77" s="16"/>
      <c r="J77" s="6"/>
      <c r="K77" s="16"/>
    </row>
    <row r="78" spans="1:11">
      <c r="A78" s="16"/>
      <c r="B78" s="16"/>
      <c r="C78" s="7"/>
      <c r="D78" s="7"/>
      <c r="E78" s="8"/>
      <c r="F78" s="7"/>
      <c r="G78" s="16"/>
      <c r="H78" s="16"/>
      <c r="I78" s="16"/>
      <c r="J78" s="6"/>
      <c r="K78" s="16"/>
    </row>
    <row r="79" spans="1:11">
      <c r="A79" s="16"/>
      <c r="B79" s="16"/>
      <c r="C79" s="7"/>
      <c r="D79" s="7"/>
      <c r="E79" s="8"/>
      <c r="F79" s="7"/>
      <c r="G79" s="16"/>
      <c r="H79" s="16"/>
      <c r="I79" s="16"/>
      <c r="J79" s="6"/>
      <c r="K79" s="16"/>
    </row>
    <row r="80" spans="1:11">
      <c r="A80" s="16"/>
      <c r="B80" s="16"/>
      <c r="C80" s="7"/>
      <c r="D80" s="7"/>
      <c r="E80" s="8"/>
      <c r="F80" s="7"/>
      <c r="G80" s="16"/>
      <c r="H80" s="16"/>
      <c r="I80" s="16"/>
      <c r="J80" s="6"/>
      <c r="K80" s="16"/>
    </row>
    <row r="81" spans="1:11">
      <c r="A81" s="16"/>
      <c r="B81" s="16"/>
      <c r="C81" s="7"/>
      <c r="D81" s="7"/>
      <c r="E81" s="8"/>
      <c r="F81" s="7"/>
      <c r="G81" s="16"/>
      <c r="H81" s="16"/>
      <c r="I81" s="16"/>
      <c r="J81" s="6"/>
      <c r="K81" s="16"/>
    </row>
    <row r="82" spans="1:11">
      <c r="A82" s="16"/>
      <c r="B82" s="16"/>
      <c r="C82" s="7"/>
      <c r="D82" s="7"/>
      <c r="E82" s="8"/>
      <c r="F82" s="7"/>
      <c r="G82" s="16"/>
      <c r="H82" s="16"/>
      <c r="I82" s="16"/>
      <c r="J82" s="6"/>
      <c r="K82" s="16"/>
    </row>
    <row r="83" spans="1:11">
      <c r="A83" s="16"/>
      <c r="B83" s="16"/>
      <c r="C83" s="7"/>
      <c r="D83" s="7"/>
      <c r="E83" s="8"/>
      <c r="F83" s="7"/>
      <c r="G83" s="16"/>
      <c r="H83" s="16"/>
      <c r="I83" s="16"/>
      <c r="J83" s="6"/>
      <c r="K83" s="16"/>
    </row>
  </sheetData>
  <mergeCells count="1">
    <mergeCell ref="A1:K1"/>
  </mergeCells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83"/>
  <sheetViews>
    <sheetView showGridLines="0" tabSelected="1" workbookViewId="0">
      <pane ySplit="3" topLeftCell="A4" activePane="bottomLeft" state="frozen"/>
      <selection pane="bottomLeft" activeCell="J7" sqref="J7"/>
    </sheetView>
  </sheetViews>
  <sheetFormatPr defaultRowHeight="14.45"/>
  <cols>
    <col min="1" max="1" width="24" customWidth="1"/>
    <col min="2" max="2" width="28" customWidth="1"/>
    <col min="3" max="7" width="15" customWidth="1"/>
    <col min="8" max="8" width="14" customWidth="1"/>
    <col min="9" max="9" width="16" customWidth="1"/>
    <col min="10" max="10" width="28" customWidth="1"/>
  </cols>
  <sheetData>
    <row r="1" spans="1:10" ht="30" customHeight="1">
      <c r="A1" s="18" t="s">
        <v>158</v>
      </c>
      <c r="B1" s="32"/>
      <c r="C1" s="32"/>
      <c r="D1" s="32"/>
      <c r="E1" s="32"/>
      <c r="F1" s="32"/>
      <c r="G1" s="32"/>
      <c r="H1" s="32"/>
      <c r="I1" s="32"/>
      <c r="J1" s="32"/>
    </row>
    <row r="3" spans="1:10">
      <c r="A3" s="17" t="s">
        <v>159</v>
      </c>
      <c r="B3" s="17" t="s">
        <v>160</v>
      </c>
      <c r="C3" s="17" t="s">
        <v>161</v>
      </c>
      <c r="D3" s="17" t="s">
        <v>162</v>
      </c>
      <c r="E3" s="17" t="s">
        <v>163</v>
      </c>
      <c r="F3" s="17" t="s">
        <v>164</v>
      </c>
      <c r="G3" s="17" t="s">
        <v>165</v>
      </c>
      <c r="H3" s="17" t="s">
        <v>149</v>
      </c>
      <c r="I3" s="17" t="s">
        <v>166</v>
      </c>
      <c r="J3" s="17" t="s">
        <v>42</v>
      </c>
    </row>
    <row r="4" spans="1:10">
      <c r="A4" s="16" t="s">
        <v>167</v>
      </c>
      <c r="B4" s="16" t="s">
        <v>168</v>
      </c>
      <c r="C4" s="7">
        <v>30000</v>
      </c>
      <c r="D4" s="7">
        <v>0</v>
      </c>
      <c r="E4" s="7">
        <f t="shared" ref="E4:E35" si="0">IF(C4="","",MAX(C4-D4,0))</f>
        <v>30000</v>
      </c>
      <c r="F4" s="5">
        <f t="shared" ref="F4:F35" si="1">IFERROR(D4/C4,0)</f>
        <v>0</v>
      </c>
      <c r="G4" s="6"/>
      <c r="H4" s="16" t="s">
        <v>153</v>
      </c>
      <c r="I4" s="7">
        <v>1000</v>
      </c>
      <c r="J4" s="16"/>
    </row>
    <row r="5" spans="1:10">
      <c r="A5" s="16" t="s">
        <v>169</v>
      </c>
      <c r="B5" s="16" t="s">
        <v>170</v>
      </c>
      <c r="C5" s="7">
        <v>7000</v>
      </c>
      <c r="D5" s="7">
        <v>0</v>
      </c>
      <c r="E5" s="7">
        <f t="shared" si="0"/>
        <v>7000</v>
      </c>
      <c r="F5" s="5">
        <f t="shared" si="1"/>
        <v>0</v>
      </c>
      <c r="G5" s="6">
        <v>46334</v>
      </c>
      <c r="H5" s="16" t="s">
        <v>156</v>
      </c>
      <c r="I5" s="7">
        <v>1000</v>
      </c>
      <c r="J5" s="16"/>
    </row>
    <row r="6" spans="1:10">
      <c r="A6" s="16" t="s">
        <v>171</v>
      </c>
      <c r="B6" s="16" t="s">
        <v>172</v>
      </c>
      <c r="C6" s="7">
        <v>70000</v>
      </c>
      <c r="D6" s="7">
        <v>18000</v>
      </c>
      <c r="E6" s="7">
        <f t="shared" si="0"/>
        <v>52000</v>
      </c>
      <c r="F6" s="5">
        <f t="shared" si="1"/>
        <v>0.25714285714285712</v>
      </c>
      <c r="G6" s="6">
        <v>46832</v>
      </c>
      <c r="H6" s="16" t="s">
        <v>156</v>
      </c>
      <c r="I6" s="7">
        <v>3000</v>
      </c>
      <c r="J6" s="10" t="s">
        <v>173</v>
      </c>
    </row>
    <row r="7" spans="1:10">
      <c r="A7" s="16"/>
      <c r="B7" s="16"/>
      <c r="C7" s="7"/>
      <c r="D7" s="7"/>
      <c r="E7" s="7" t="str">
        <f t="shared" si="0"/>
        <v/>
      </c>
      <c r="F7" s="5">
        <f t="shared" si="1"/>
        <v>0</v>
      </c>
      <c r="G7" s="6"/>
      <c r="H7" s="16"/>
      <c r="I7" s="7"/>
      <c r="J7" s="16"/>
    </row>
    <row r="8" spans="1:10">
      <c r="A8" s="16"/>
      <c r="B8" s="16"/>
      <c r="C8" s="7"/>
      <c r="D8" s="7"/>
      <c r="E8" s="7" t="str">
        <f t="shared" si="0"/>
        <v/>
      </c>
      <c r="F8" s="5">
        <f t="shared" si="1"/>
        <v>0</v>
      </c>
      <c r="G8" s="6"/>
      <c r="H8" s="16"/>
      <c r="I8" s="7"/>
      <c r="J8" s="16"/>
    </row>
    <row r="9" spans="1:10">
      <c r="A9" s="16"/>
      <c r="B9" s="16"/>
      <c r="C9" s="7"/>
      <c r="D9" s="7"/>
      <c r="E9" s="7" t="str">
        <f t="shared" si="0"/>
        <v/>
      </c>
      <c r="F9" s="5">
        <f t="shared" si="1"/>
        <v>0</v>
      </c>
      <c r="G9" s="6"/>
      <c r="H9" s="16"/>
      <c r="I9" s="7"/>
      <c r="J9" s="16"/>
    </row>
    <row r="10" spans="1:10">
      <c r="A10" s="16"/>
      <c r="B10" s="16"/>
      <c r="C10" s="7"/>
      <c r="D10" s="7"/>
      <c r="E10" s="7" t="str">
        <f t="shared" si="0"/>
        <v/>
      </c>
      <c r="F10" s="5">
        <f t="shared" si="1"/>
        <v>0</v>
      </c>
      <c r="G10" s="6"/>
      <c r="H10" s="16"/>
      <c r="I10" s="7"/>
      <c r="J10" s="16"/>
    </row>
    <row r="11" spans="1:10">
      <c r="A11" s="16"/>
      <c r="B11" s="16"/>
      <c r="C11" s="7"/>
      <c r="D11" s="7"/>
      <c r="E11" s="7" t="str">
        <f t="shared" si="0"/>
        <v/>
      </c>
      <c r="F11" s="5">
        <f t="shared" si="1"/>
        <v>0</v>
      </c>
      <c r="G11" s="6"/>
      <c r="H11" s="16"/>
      <c r="I11" s="7"/>
      <c r="J11" s="16"/>
    </row>
    <row r="12" spans="1:10">
      <c r="A12" s="16"/>
      <c r="B12" s="16"/>
      <c r="C12" s="7"/>
      <c r="D12" s="7"/>
      <c r="E12" s="7" t="str">
        <f t="shared" si="0"/>
        <v/>
      </c>
      <c r="F12" s="5">
        <f t="shared" si="1"/>
        <v>0</v>
      </c>
      <c r="G12" s="6"/>
      <c r="H12" s="16"/>
      <c r="I12" s="7"/>
      <c r="J12" s="16"/>
    </row>
    <row r="13" spans="1:10">
      <c r="A13" s="16"/>
      <c r="B13" s="16"/>
      <c r="C13" s="7"/>
      <c r="D13" s="7"/>
      <c r="E13" s="7" t="str">
        <f t="shared" si="0"/>
        <v/>
      </c>
      <c r="F13" s="5">
        <f t="shared" si="1"/>
        <v>0</v>
      </c>
      <c r="G13" s="6"/>
      <c r="H13" s="16"/>
      <c r="I13" s="7"/>
      <c r="J13" s="16"/>
    </row>
    <row r="14" spans="1:10">
      <c r="A14" s="16"/>
      <c r="B14" s="16"/>
      <c r="C14" s="7"/>
      <c r="D14" s="7"/>
      <c r="E14" s="7" t="str">
        <f t="shared" si="0"/>
        <v/>
      </c>
      <c r="F14" s="5">
        <f t="shared" si="1"/>
        <v>0</v>
      </c>
      <c r="G14" s="6"/>
      <c r="H14" s="16"/>
      <c r="I14" s="7"/>
      <c r="J14" s="16"/>
    </row>
    <row r="15" spans="1:10">
      <c r="A15" s="16"/>
      <c r="B15" s="16"/>
      <c r="C15" s="7"/>
      <c r="D15" s="7"/>
      <c r="E15" s="7" t="str">
        <f t="shared" si="0"/>
        <v/>
      </c>
      <c r="F15" s="5">
        <f t="shared" si="1"/>
        <v>0</v>
      </c>
      <c r="G15" s="6"/>
      <c r="H15" s="16"/>
      <c r="I15" s="7"/>
      <c r="J15" s="16"/>
    </row>
    <row r="16" spans="1:10">
      <c r="A16" s="16"/>
      <c r="B16" s="16"/>
      <c r="C16" s="7"/>
      <c r="D16" s="7"/>
      <c r="E16" s="7" t="str">
        <f t="shared" si="0"/>
        <v/>
      </c>
      <c r="F16" s="5">
        <f t="shared" si="1"/>
        <v>0</v>
      </c>
      <c r="G16" s="6"/>
      <c r="H16" s="16"/>
      <c r="I16" s="7"/>
      <c r="J16" s="16"/>
    </row>
    <row r="17" spans="1:10">
      <c r="A17" s="16"/>
      <c r="B17" s="16"/>
      <c r="C17" s="7"/>
      <c r="D17" s="7"/>
      <c r="E17" s="7" t="str">
        <f t="shared" si="0"/>
        <v/>
      </c>
      <c r="F17" s="5">
        <f t="shared" si="1"/>
        <v>0</v>
      </c>
      <c r="G17" s="6"/>
      <c r="H17" s="16"/>
      <c r="I17" s="7"/>
      <c r="J17" s="16"/>
    </row>
    <row r="18" spans="1:10">
      <c r="A18" s="16"/>
      <c r="B18" s="16"/>
      <c r="C18" s="7"/>
      <c r="D18" s="7"/>
      <c r="E18" s="7" t="str">
        <f t="shared" si="0"/>
        <v/>
      </c>
      <c r="F18" s="5">
        <f t="shared" si="1"/>
        <v>0</v>
      </c>
      <c r="G18" s="6"/>
      <c r="H18" s="16"/>
      <c r="I18" s="7"/>
      <c r="J18" s="16"/>
    </row>
    <row r="19" spans="1:10">
      <c r="A19" s="16"/>
      <c r="B19" s="16"/>
      <c r="C19" s="7"/>
      <c r="D19" s="7"/>
      <c r="E19" s="7" t="str">
        <f t="shared" si="0"/>
        <v/>
      </c>
      <c r="F19" s="5">
        <f t="shared" si="1"/>
        <v>0</v>
      </c>
      <c r="G19" s="6"/>
      <c r="H19" s="16"/>
      <c r="I19" s="7"/>
      <c r="J19" s="16"/>
    </row>
    <row r="20" spans="1:10">
      <c r="A20" s="16"/>
      <c r="B20" s="16"/>
      <c r="C20" s="7"/>
      <c r="D20" s="7"/>
      <c r="E20" s="7" t="str">
        <f t="shared" si="0"/>
        <v/>
      </c>
      <c r="F20" s="5">
        <f t="shared" si="1"/>
        <v>0</v>
      </c>
      <c r="G20" s="6"/>
      <c r="H20" s="16"/>
      <c r="I20" s="7"/>
      <c r="J20" s="16"/>
    </row>
    <row r="21" spans="1:10">
      <c r="A21" s="16"/>
      <c r="B21" s="16"/>
      <c r="C21" s="7"/>
      <c r="D21" s="7"/>
      <c r="E21" s="7" t="str">
        <f t="shared" si="0"/>
        <v/>
      </c>
      <c r="F21" s="5">
        <f t="shared" si="1"/>
        <v>0</v>
      </c>
      <c r="G21" s="6"/>
      <c r="H21" s="16"/>
      <c r="I21" s="7"/>
      <c r="J21" s="16"/>
    </row>
    <row r="22" spans="1:10">
      <c r="A22" s="16"/>
      <c r="B22" s="16"/>
      <c r="C22" s="7"/>
      <c r="D22" s="7"/>
      <c r="E22" s="7" t="str">
        <f t="shared" si="0"/>
        <v/>
      </c>
      <c r="F22" s="5">
        <f t="shared" si="1"/>
        <v>0</v>
      </c>
      <c r="G22" s="6"/>
      <c r="H22" s="16"/>
      <c r="I22" s="7"/>
      <c r="J22" s="16"/>
    </row>
    <row r="23" spans="1:10">
      <c r="A23" s="16"/>
      <c r="B23" s="16"/>
      <c r="C23" s="7"/>
      <c r="D23" s="7"/>
      <c r="E23" s="7" t="str">
        <f t="shared" si="0"/>
        <v/>
      </c>
      <c r="F23" s="5">
        <f t="shared" si="1"/>
        <v>0</v>
      </c>
      <c r="G23" s="6"/>
      <c r="H23" s="16"/>
      <c r="I23" s="7"/>
      <c r="J23" s="16"/>
    </row>
    <row r="24" spans="1:10">
      <c r="A24" s="16"/>
      <c r="B24" s="16"/>
      <c r="C24" s="7"/>
      <c r="D24" s="7"/>
      <c r="E24" s="7" t="str">
        <f t="shared" si="0"/>
        <v/>
      </c>
      <c r="F24" s="5">
        <f t="shared" si="1"/>
        <v>0</v>
      </c>
      <c r="G24" s="6"/>
      <c r="H24" s="16"/>
      <c r="I24" s="7"/>
      <c r="J24" s="16"/>
    </row>
    <row r="25" spans="1:10">
      <c r="A25" s="16"/>
      <c r="B25" s="16"/>
      <c r="C25" s="7"/>
      <c r="D25" s="7"/>
      <c r="E25" s="7" t="str">
        <f t="shared" si="0"/>
        <v/>
      </c>
      <c r="F25" s="5">
        <f t="shared" si="1"/>
        <v>0</v>
      </c>
      <c r="G25" s="6"/>
      <c r="H25" s="16"/>
      <c r="I25" s="7"/>
      <c r="J25" s="16"/>
    </row>
    <row r="26" spans="1:10">
      <c r="A26" s="16"/>
      <c r="B26" s="16"/>
      <c r="C26" s="7"/>
      <c r="D26" s="7"/>
      <c r="E26" s="7" t="str">
        <f t="shared" si="0"/>
        <v/>
      </c>
      <c r="F26" s="5">
        <f t="shared" si="1"/>
        <v>0</v>
      </c>
      <c r="G26" s="6"/>
      <c r="H26" s="16"/>
      <c r="I26" s="7"/>
      <c r="J26" s="16"/>
    </row>
    <row r="27" spans="1:10">
      <c r="A27" s="16"/>
      <c r="B27" s="16"/>
      <c r="C27" s="7"/>
      <c r="D27" s="7"/>
      <c r="E27" s="7" t="str">
        <f t="shared" si="0"/>
        <v/>
      </c>
      <c r="F27" s="5">
        <f t="shared" si="1"/>
        <v>0</v>
      </c>
      <c r="G27" s="6"/>
      <c r="H27" s="16"/>
      <c r="I27" s="7"/>
      <c r="J27" s="16"/>
    </row>
    <row r="28" spans="1:10">
      <c r="A28" s="16"/>
      <c r="B28" s="16"/>
      <c r="C28" s="7"/>
      <c r="D28" s="7"/>
      <c r="E28" s="7" t="str">
        <f t="shared" si="0"/>
        <v/>
      </c>
      <c r="F28" s="5">
        <f t="shared" si="1"/>
        <v>0</v>
      </c>
      <c r="G28" s="6"/>
      <c r="H28" s="16"/>
      <c r="I28" s="7"/>
      <c r="J28" s="16"/>
    </row>
    <row r="29" spans="1:10">
      <c r="A29" s="16"/>
      <c r="B29" s="16"/>
      <c r="C29" s="7"/>
      <c r="D29" s="7"/>
      <c r="E29" s="7" t="str">
        <f t="shared" si="0"/>
        <v/>
      </c>
      <c r="F29" s="5">
        <f t="shared" si="1"/>
        <v>0</v>
      </c>
      <c r="G29" s="6"/>
      <c r="H29" s="16"/>
      <c r="I29" s="7"/>
      <c r="J29" s="16"/>
    </row>
    <row r="30" spans="1:10">
      <c r="A30" s="16"/>
      <c r="B30" s="16"/>
      <c r="C30" s="7"/>
      <c r="D30" s="7"/>
      <c r="E30" s="7" t="str">
        <f t="shared" si="0"/>
        <v/>
      </c>
      <c r="F30" s="5">
        <f t="shared" si="1"/>
        <v>0</v>
      </c>
      <c r="G30" s="6"/>
      <c r="H30" s="16"/>
      <c r="I30" s="7"/>
      <c r="J30" s="16"/>
    </row>
    <row r="31" spans="1:10">
      <c r="A31" s="16"/>
      <c r="B31" s="16"/>
      <c r="C31" s="7"/>
      <c r="D31" s="7"/>
      <c r="E31" s="7" t="str">
        <f t="shared" si="0"/>
        <v/>
      </c>
      <c r="F31" s="5">
        <f t="shared" si="1"/>
        <v>0</v>
      </c>
      <c r="G31" s="6"/>
      <c r="H31" s="16"/>
      <c r="I31" s="7"/>
      <c r="J31" s="16"/>
    </row>
    <row r="32" spans="1:10">
      <c r="A32" s="16"/>
      <c r="B32" s="16"/>
      <c r="C32" s="7"/>
      <c r="D32" s="7"/>
      <c r="E32" s="7" t="str">
        <f t="shared" si="0"/>
        <v/>
      </c>
      <c r="F32" s="5">
        <f t="shared" si="1"/>
        <v>0</v>
      </c>
      <c r="G32" s="6"/>
      <c r="H32" s="16"/>
      <c r="I32" s="7"/>
      <c r="J32" s="16"/>
    </row>
    <row r="33" spans="1:10">
      <c r="A33" s="16"/>
      <c r="B33" s="16"/>
      <c r="C33" s="7"/>
      <c r="D33" s="7"/>
      <c r="E33" s="7" t="str">
        <f t="shared" si="0"/>
        <v/>
      </c>
      <c r="F33" s="5">
        <f t="shared" si="1"/>
        <v>0</v>
      </c>
      <c r="G33" s="6"/>
      <c r="H33" s="16"/>
      <c r="I33" s="7"/>
      <c r="J33" s="16"/>
    </row>
    <row r="34" spans="1:10">
      <c r="A34" s="16"/>
      <c r="B34" s="16"/>
      <c r="C34" s="7"/>
      <c r="D34" s="7"/>
      <c r="E34" s="7" t="str">
        <f t="shared" si="0"/>
        <v/>
      </c>
      <c r="F34" s="5">
        <f t="shared" si="1"/>
        <v>0</v>
      </c>
      <c r="G34" s="6"/>
      <c r="H34" s="16"/>
      <c r="I34" s="7"/>
      <c r="J34" s="16"/>
    </row>
    <row r="35" spans="1:10">
      <c r="A35" s="16"/>
      <c r="B35" s="16"/>
      <c r="C35" s="7"/>
      <c r="D35" s="7"/>
      <c r="E35" s="7" t="str">
        <f t="shared" si="0"/>
        <v/>
      </c>
      <c r="F35" s="5">
        <f t="shared" si="1"/>
        <v>0</v>
      </c>
      <c r="G35" s="6"/>
      <c r="H35" s="16"/>
      <c r="I35" s="7"/>
      <c r="J35" s="16"/>
    </row>
    <row r="36" spans="1:10">
      <c r="A36" s="16"/>
      <c r="B36" s="16"/>
      <c r="C36" s="7"/>
      <c r="D36" s="7"/>
      <c r="E36" s="7" t="str">
        <f t="shared" ref="E36:E67" si="2">IF(C36="","",MAX(C36-D36,0))</f>
        <v/>
      </c>
      <c r="F36" s="5">
        <f t="shared" ref="F36:F67" si="3">IFERROR(D36/C36,0)</f>
        <v>0</v>
      </c>
      <c r="G36" s="6"/>
      <c r="H36" s="16"/>
      <c r="I36" s="7"/>
      <c r="J36" s="16"/>
    </row>
    <row r="37" spans="1:10">
      <c r="A37" s="16"/>
      <c r="B37" s="16"/>
      <c r="C37" s="7"/>
      <c r="D37" s="7"/>
      <c r="E37" s="7" t="str">
        <f t="shared" si="2"/>
        <v/>
      </c>
      <c r="F37" s="5">
        <f t="shared" si="3"/>
        <v>0</v>
      </c>
      <c r="G37" s="6"/>
      <c r="H37" s="16"/>
      <c r="I37" s="7"/>
      <c r="J37" s="16"/>
    </row>
    <row r="38" spans="1:10">
      <c r="A38" s="16"/>
      <c r="B38" s="16"/>
      <c r="C38" s="7"/>
      <c r="D38" s="7"/>
      <c r="E38" s="7" t="str">
        <f t="shared" si="2"/>
        <v/>
      </c>
      <c r="F38" s="5">
        <f t="shared" si="3"/>
        <v>0</v>
      </c>
      <c r="G38" s="6"/>
      <c r="H38" s="16"/>
      <c r="I38" s="7"/>
      <c r="J38" s="16"/>
    </row>
    <row r="39" spans="1:10">
      <c r="A39" s="16"/>
      <c r="B39" s="16"/>
      <c r="C39" s="7"/>
      <c r="D39" s="7"/>
      <c r="E39" s="7" t="str">
        <f t="shared" si="2"/>
        <v/>
      </c>
      <c r="F39" s="5">
        <f t="shared" si="3"/>
        <v>0</v>
      </c>
      <c r="G39" s="6"/>
      <c r="H39" s="16"/>
      <c r="I39" s="7"/>
      <c r="J39" s="16"/>
    </row>
    <row r="40" spans="1:10">
      <c r="A40" s="16"/>
      <c r="B40" s="16"/>
      <c r="C40" s="7"/>
      <c r="D40" s="7"/>
      <c r="E40" s="7" t="str">
        <f t="shared" si="2"/>
        <v/>
      </c>
      <c r="F40" s="5">
        <f t="shared" si="3"/>
        <v>0</v>
      </c>
      <c r="G40" s="6"/>
      <c r="H40" s="16"/>
      <c r="I40" s="7"/>
      <c r="J40" s="16"/>
    </row>
    <row r="41" spans="1:10">
      <c r="A41" s="16"/>
      <c r="B41" s="16"/>
      <c r="C41" s="7"/>
      <c r="D41" s="7"/>
      <c r="E41" s="7" t="str">
        <f t="shared" si="2"/>
        <v/>
      </c>
      <c r="F41" s="5">
        <f t="shared" si="3"/>
        <v>0</v>
      </c>
      <c r="G41" s="6"/>
      <c r="H41" s="16"/>
      <c r="I41" s="7"/>
      <c r="J41" s="16"/>
    </row>
    <row r="42" spans="1:10">
      <c r="A42" s="16"/>
      <c r="B42" s="16"/>
      <c r="C42" s="7"/>
      <c r="D42" s="7"/>
      <c r="E42" s="7" t="str">
        <f t="shared" si="2"/>
        <v/>
      </c>
      <c r="F42" s="5">
        <f t="shared" si="3"/>
        <v>0</v>
      </c>
      <c r="G42" s="6"/>
      <c r="H42" s="16"/>
      <c r="I42" s="7"/>
      <c r="J42" s="16"/>
    </row>
    <row r="43" spans="1:10">
      <c r="A43" s="16"/>
      <c r="B43" s="16"/>
      <c r="C43" s="7"/>
      <c r="D43" s="7"/>
      <c r="E43" s="7" t="str">
        <f t="shared" si="2"/>
        <v/>
      </c>
      <c r="F43" s="5">
        <f t="shared" si="3"/>
        <v>0</v>
      </c>
      <c r="G43" s="6"/>
      <c r="H43" s="16"/>
      <c r="I43" s="7"/>
      <c r="J43" s="16"/>
    </row>
    <row r="44" spans="1:10">
      <c r="A44" s="16"/>
      <c r="B44" s="16"/>
      <c r="C44" s="7"/>
      <c r="D44" s="7"/>
      <c r="E44" s="7" t="str">
        <f t="shared" si="2"/>
        <v/>
      </c>
      <c r="F44" s="5">
        <f t="shared" si="3"/>
        <v>0</v>
      </c>
      <c r="G44" s="6"/>
      <c r="H44" s="16"/>
      <c r="I44" s="7"/>
      <c r="J44" s="16"/>
    </row>
    <row r="45" spans="1:10">
      <c r="A45" s="16"/>
      <c r="B45" s="16"/>
      <c r="C45" s="7"/>
      <c r="D45" s="7"/>
      <c r="E45" s="7" t="str">
        <f t="shared" si="2"/>
        <v/>
      </c>
      <c r="F45" s="5">
        <f t="shared" si="3"/>
        <v>0</v>
      </c>
      <c r="G45" s="6"/>
      <c r="H45" s="16"/>
      <c r="I45" s="7"/>
      <c r="J45" s="16"/>
    </row>
    <row r="46" spans="1:10">
      <c r="A46" s="16"/>
      <c r="B46" s="16"/>
      <c r="C46" s="7"/>
      <c r="D46" s="7"/>
      <c r="E46" s="7" t="str">
        <f t="shared" si="2"/>
        <v/>
      </c>
      <c r="F46" s="5">
        <f t="shared" si="3"/>
        <v>0</v>
      </c>
      <c r="G46" s="6"/>
      <c r="H46" s="16"/>
      <c r="I46" s="7"/>
      <c r="J46" s="16"/>
    </row>
    <row r="47" spans="1:10">
      <c r="A47" s="16"/>
      <c r="B47" s="16"/>
      <c r="C47" s="7"/>
      <c r="D47" s="7"/>
      <c r="E47" s="7" t="str">
        <f t="shared" si="2"/>
        <v/>
      </c>
      <c r="F47" s="5">
        <f t="shared" si="3"/>
        <v>0</v>
      </c>
      <c r="G47" s="6"/>
      <c r="H47" s="16"/>
      <c r="I47" s="7"/>
      <c r="J47" s="16"/>
    </row>
    <row r="48" spans="1:10">
      <c r="A48" s="16"/>
      <c r="B48" s="16"/>
      <c r="C48" s="7"/>
      <c r="D48" s="7"/>
      <c r="E48" s="7" t="str">
        <f t="shared" si="2"/>
        <v/>
      </c>
      <c r="F48" s="5">
        <f t="shared" si="3"/>
        <v>0</v>
      </c>
      <c r="G48" s="6"/>
      <c r="H48" s="16"/>
      <c r="I48" s="7"/>
      <c r="J48" s="16"/>
    </row>
    <row r="49" spans="1:10">
      <c r="A49" s="16"/>
      <c r="B49" s="16"/>
      <c r="C49" s="7"/>
      <c r="D49" s="7"/>
      <c r="E49" s="7" t="str">
        <f t="shared" si="2"/>
        <v/>
      </c>
      <c r="F49" s="5">
        <f t="shared" si="3"/>
        <v>0</v>
      </c>
      <c r="G49" s="6"/>
      <c r="H49" s="16"/>
      <c r="I49" s="7"/>
      <c r="J49" s="16"/>
    </row>
    <row r="50" spans="1:10">
      <c r="A50" s="16"/>
      <c r="B50" s="16"/>
      <c r="C50" s="7"/>
      <c r="D50" s="7"/>
      <c r="E50" s="7" t="str">
        <f t="shared" si="2"/>
        <v/>
      </c>
      <c r="F50" s="5">
        <f t="shared" si="3"/>
        <v>0</v>
      </c>
      <c r="G50" s="6"/>
      <c r="H50" s="16"/>
      <c r="I50" s="7"/>
      <c r="J50" s="16"/>
    </row>
    <row r="51" spans="1:10">
      <c r="A51" s="16"/>
      <c r="B51" s="16"/>
      <c r="C51" s="7"/>
      <c r="D51" s="7"/>
      <c r="E51" s="7" t="str">
        <f t="shared" si="2"/>
        <v/>
      </c>
      <c r="F51" s="5">
        <f t="shared" si="3"/>
        <v>0</v>
      </c>
      <c r="G51" s="6"/>
      <c r="H51" s="16"/>
      <c r="I51" s="7"/>
      <c r="J51" s="16"/>
    </row>
    <row r="52" spans="1:10">
      <c r="A52" s="16"/>
      <c r="B52" s="16"/>
      <c r="C52" s="7"/>
      <c r="D52" s="7"/>
      <c r="E52" s="7" t="str">
        <f t="shared" si="2"/>
        <v/>
      </c>
      <c r="F52" s="5">
        <f t="shared" si="3"/>
        <v>0</v>
      </c>
      <c r="G52" s="6"/>
      <c r="H52" s="16"/>
      <c r="I52" s="7"/>
      <c r="J52" s="16"/>
    </row>
    <row r="53" spans="1:10">
      <c r="A53" s="16"/>
      <c r="B53" s="16"/>
      <c r="C53" s="7"/>
      <c r="D53" s="7"/>
      <c r="E53" s="7" t="str">
        <f t="shared" si="2"/>
        <v/>
      </c>
      <c r="F53" s="5">
        <f t="shared" si="3"/>
        <v>0</v>
      </c>
      <c r="G53" s="6"/>
      <c r="H53" s="16"/>
      <c r="I53" s="7"/>
      <c r="J53" s="16"/>
    </row>
    <row r="54" spans="1:10">
      <c r="A54" s="16"/>
      <c r="B54" s="16"/>
      <c r="C54" s="7"/>
      <c r="D54" s="7"/>
      <c r="E54" s="7" t="str">
        <f t="shared" si="2"/>
        <v/>
      </c>
      <c r="F54" s="5">
        <f t="shared" si="3"/>
        <v>0</v>
      </c>
      <c r="G54" s="6"/>
      <c r="H54" s="16"/>
      <c r="I54" s="7"/>
      <c r="J54" s="16"/>
    </row>
    <row r="55" spans="1:10">
      <c r="A55" s="16"/>
      <c r="B55" s="16"/>
      <c r="C55" s="7"/>
      <c r="D55" s="7"/>
      <c r="E55" s="7" t="str">
        <f t="shared" si="2"/>
        <v/>
      </c>
      <c r="F55" s="5">
        <f t="shared" si="3"/>
        <v>0</v>
      </c>
      <c r="G55" s="6"/>
      <c r="H55" s="16"/>
      <c r="I55" s="7"/>
      <c r="J55" s="16"/>
    </row>
    <row r="56" spans="1:10">
      <c r="A56" s="16"/>
      <c r="B56" s="16"/>
      <c r="C56" s="7"/>
      <c r="D56" s="7"/>
      <c r="E56" s="7" t="str">
        <f t="shared" si="2"/>
        <v/>
      </c>
      <c r="F56" s="5">
        <f t="shared" si="3"/>
        <v>0</v>
      </c>
      <c r="G56" s="6"/>
      <c r="H56" s="16"/>
      <c r="I56" s="7"/>
      <c r="J56" s="16"/>
    </row>
    <row r="57" spans="1:10">
      <c r="A57" s="16"/>
      <c r="B57" s="16"/>
      <c r="C57" s="7"/>
      <c r="D57" s="7"/>
      <c r="E57" s="7" t="str">
        <f t="shared" si="2"/>
        <v/>
      </c>
      <c r="F57" s="5">
        <f t="shared" si="3"/>
        <v>0</v>
      </c>
      <c r="G57" s="6"/>
      <c r="H57" s="16"/>
      <c r="I57" s="7"/>
      <c r="J57" s="16"/>
    </row>
    <row r="58" spans="1:10">
      <c r="A58" s="16"/>
      <c r="B58" s="16"/>
      <c r="C58" s="7"/>
      <c r="D58" s="7"/>
      <c r="E58" s="7" t="str">
        <f t="shared" si="2"/>
        <v/>
      </c>
      <c r="F58" s="5">
        <f t="shared" si="3"/>
        <v>0</v>
      </c>
      <c r="G58" s="6"/>
      <c r="H58" s="16"/>
      <c r="I58" s="7"/>
      <c r="J58" s="16"/>
    </row>
    <row r="59" spans="1:10">
      <c r="A59" s="16"/>
      <c r="B59" s="16"/>
      <c r="C59" s="7"/>
      <c r="D59" s="7"/>
      <c r="E59" s="7" t="str">
        <f t="shared" si="2"/>
        <v/>
      </c>
      <c r="F59" s="5">
        <f t="shared" si="3"/>
        <v>0</v>
      </c>
      <c r="G59" s="6"/>
      <c r="H59" s="16"/>
      <c r="I59" s="7"/>
      <c r="J59" s="16"/>
    </row>
    <row r="60" spans="1:10">
      <c r="A60" s="16"/>
      <c r="B60" s="16"/>
      <c r="C60" s="7"/>
      <c r="D60" s="7"/>
      <c r="E60" s="7" t="str">
        <f t="shared" si="2"/>
        <v/>
      </c>
      <c r="F60" s="5">
        <f t="shared" si="3"/>
        <v>0</v>
      </c>
      <c r="G60" s="6"/>
      <c r="H60" s="16"/>
      <c r="I60" s="7"/>
      <c r="J60" s="16"/>
    </row>
    <row r="61" spans="1:10">
      <c r="A61" s="16"/>
      <c r="B61" s="16"/>
      <c r="C61" s="7"/>
      <c r="D61" s="7"/>
      <c r="E61" s="7" t="str">
        <f t="shared" si="2"/>
        <v/>
      </c>
      <c r="F61" s="5">
        <f t="shared" si="3"/>
        <v>0</v>
      </c>
      <c r="G61" s="6"/>
      <c r="H61" s="16"/>
      <c r="I61" s="7"/>
      <c r="J61" s="16"/>
    </row>
    <row r="62" spans="1:10">
      <c r="A62" s="16"/>
      <c r="B62" s="16"/>
      <c r="C62" s="7"/>
      <c r="D62" s="7"/>
      <c r="E62" s="7" t="str">
        <f t="shared" si="2"/>
        <v/>
      </c>
      <c r="F62" s="5">
        <f t="shared" si="3"/>
        <v>0</v>
      </c>
      <c r="G62" s="6"/>
      <c r="H62" s="16"/>
      <c r="I62" s="7"/>
      <c r="J62" s="16"/>
    </row>
    <row r="63" spans="1:10">
      <c r="A63" s="16"/>
      <c r="B63" s="16"/>
      <c r="C63" s="7"/>
      <c r="D63" s="7"/>
      <c r="E63" s="7" t="str">
        <f t="shared" si="2"/>
        <v/>
      </c>
      <c r="F63" s="5">
        <f t="shared" si="3"/>
        <v>0</v>
      </c>
      <c r="G63" s="6"/>
      <c r="H63" s="16"/>
      <c r="I63" s="7"/>
      <c r="J63" s="16"/>
    </row>
    <row r="64" spans="1:10">
      <c r="A64" s="16"/>
      <c r="B64" s="16"/>
      <c r="C64" s="7"/>
      <c r="D64" s="7"/>
      <c r="E64" s="7" t="str">
        <f t="shared" si="2"/>
        <v/>
      </c>
      <c r="F64" s="5">
        <f t="shared" si="3"/>
        <v>0</v>
      </c>
      <c r="G64" s="6"/>
      <c r="H64" s="16"/>
      <c r="I64" s="7"/>
      <c r="J64" s="16"/>
    </row>
    <row r="65" spans="1:10">
      <c r="A65" s="16"/>
      <c r="B65" s="16"/>
      <c r="C65" s="7"/>
      <c r="D65" s="7"/>
      <c r="E65" s="7" t="str">
        <f t="shared" si="2"/>
        <v/>
      </c>
      <c r="F65" s="5">
        <f t="shared" si="3"/>
        <v>0</v>
      </c>
      <c r="G65" s="6"/>
      <c r="H65" s="16"/>
      <c r="I65" s="7"/>
      <c r="J65" s="16"/>
    </row>
    <row r="66" spans="1:10">
      <c r="A66" s="16"/>
      <c r="B66" s="16"/>
      <c r="C66" s="7"/>
      <c r="D66" s="7"/>
      <c r="E66" s="7" t="str">
        <f t="shared" si="2"/>
        <v/>
      </c>
      <c r="F66" s="5">
        <f t="shared" si="3"/>
        <v>0</v>
      </c>
      <c r="G66" s="6"/>
      <c r="H66" s="16"/>
      <c r="I66" s="7"/>
      <c r="J66" s="16"/>
    </row>
    <row r="67" spans="1:10">
      <c r="A67" s="16"/>
      <c r="B67" s="16"/>
      <c r="C67" s="7"/>
      <c r="D67" s="7"/>
      <c r="E67" s="7" t="str">
        <f t="shared" si="2"/>
        <v/>
      </c>
      <c r="F67" s="5">
        <f t="shared" si="3"/>
        <v>0</v>
      </c>
      <c r="G67" s="6"/>
      <c r="H67" s="16"/>
      <c r="I67" s="7"/>
      <c r="J67" s="16"/>
    </row>
    <row r="68" spans="1:10">
      <c r="A68" s="16"/>
      <c r="B68" s="16"/>
      <c r="C68" s="7"/>
      <c r="D68" s="7"/>
      <c r="E68" s="7" t="str">
        <f t="shared" ref="E68:E83" si="4">IF(C68="","",MAX(C68-D68,0))</f>
        <v/>
      </c>
      <c r="F68" s="5">
        <f t="shared" ref="F68:F83" si="5">IFERROR(D68/C68,0)</f>
        <v>0</v>
      </c>
      <c r="G68" s="6"/>
      <c r="H68" s="16"/>
      <c r="I68" s="7"/>
      <c r="J68" s="16"/>
    </row>
    <row r="69" spans="1:10">
      <c r="A69" s="16"/>
      <c r="B69" s="16"/>
      <c r="C69" s="7"/>
      <c r="D69" s="7"/>
      <c r="E69" s="7" t="str">
        <f t="shared" si="4"/>
        <v/>
      </c>
      <c r="F69" s="5">
        <f t="shared" si="5"/>
        <v>0</v>
      </c>
      <c r="G69" s="6"/>
      <c r="H69" s="16"/>
      <c r="I69" s="7"/>
      <c r="J69" s="16"/>
    </row>
    <row r="70" spans="1:10">
      <c r="A70" s="16"/>
      <c r="B70" s="16"/>
      <c r="C70" s="7"/>
      <c r="D70" s="7"/>
      <c r="E70" s="7" t="str">
        <f t="shared" si="4"/>
        <v/>
      </c>
      <c r="F70" s="5">
        <f t="shared" si="5"/>
        <v>0</v>
      </c>
      <c r="G70" s="6"/>
      <c r="H70" s="16"/>
      <c r="I70" s="7"/>
      <c r="J70" s="16"/>
    </row>
    <row r="71" spans="1:10">
      <c r="A71" s="16"/>
      <c r="B71" s="16"/>
      <c r="C71" s="7"/>
      <c r="D71" s="7"/>
      <c r="E71" s="7" t="str">
        <f t="shared" si="4"/>
        <v/>
      </c>
      <c r="F71" s="5">
        <f t="shared" si="5"/>
        <v>0</v>
      </c>
      <c r="G71" s="6"/>
      <c r="H71" s="16"/>
      <c r="I71" s="7"/>
      <c r="J71" s="16"/>
    </row>
    <row r="72" spans="1:10">
      <c r="A72" s="16"/>
      <c r="B72" s="16"/>
      <c r="C72" s="7"/>
      <c r="D72" s="7"/>
      <c r="E72" s="7" t="str">
        <f t="shared" si="4"/>
        <v/>
      </c>
      <c r="F72" s="5">
        <f t="shared" si="5"/>
        <v>0</v>
      </c>
      <c r="G72" s="6"/>
      <c r="H72" s="16"/>
      <c r="I72" s="7"/>
      <c r="J72" s="16"/>
    </row>
    <row r="73" spans="1:10">
      <c r="A73" s="16"/>
      <c r="B73" s="16"/>
      <c r="C73" s="7"/>
      <c r="D73" s="7"/>
      <c r="E73" s="7" t="str">
        <f t="shared" si="4"/>
        <v/>
      </c>
      <c r="F73" s="5">
        <f t="shared" si="5"/>
        <v>0</v>
      </c>
      <c r="G73" s="6"/>
      <c r="H73" s="16"/>
      <c r="I73" s="7"/>
      <c r="J73" s="16"/>
    </row>
    <row r="74" spans="1:10">
      <c r="A74" s="16"/>
      <c r="B74" s="16"/>
      <c r="C74" s="7"/>
      <c r="D74" s="7"/>
      <c r="E74" s="7" t="str">
        <f t="shared" si="4"/>
        <v/>
      </c>
      <c r="F74" s="5">
        <f t="shared" si="5"/>
        <v>0</v>
      </c>
      <c r="G74" s="6"/>
      <c r="H74" s="16"/>
      <c r="I74" s="7"/>
      <c r="J74" s="16"/>
    </row>
    <row r="75" spans="1:10">
      <c r="A75" s="16"/>
      <c r="B75" s="16"/>
      <c r="C75" s="7"/>
      <c r="D75" s="7"/>
      <c r="E75" s="7" t="str">
        <f t="shared" si="4"/>
        <v/>
      </c>
      <c r="F75" s="5">
        <f t="shared" si="5"/>
        <v>0</v>
      </c>
      <c r="G75" s="6"/>
      <c r="H75" s="16"/>
      <c r="I75" s="7"/>
      <c r="J75" s="16"/>
    </row>
    <row r="76" spans="1:10">
      <c r="A76" s="16"/>
      <c r="B76" s="16"/>
      <c r="C76" s="7"/>
      <c r="D76" s="7"/>
      <c r="E76" s="7" t="str">
        <f t="shared" si="4"/>
        <v/>
      </c>
      <c r="F76" s="5">
        <f t="shared" si="5"/>
        <v>0</v>
      </c>
      <c r="G76" s="6"/>
      <c r="H76" s="16"/>
      <c r="I76" s="7"/>
      <c r="J76" s="16"/>
    </row>
    <row r="77" spans="1:10">
      <c r="A77" s="16"/>
      <c r="B77" s="16"/>
      <c r="C77" s="7"/>
      <c r="D77" s="7"/>
      <c r="E77" s="7" t="str">
        <f t="shared" si="4"/>
        <v/>
      </c>
      <c r="F77" s="5">
        <f t="shared" si="5"/>
        <v>0</v>
      </c>
      <c r="G77" s="6"/>
      <c r="H77" s="16"/>
      <c r="I77" s="7"/>
      <c r="J77" s="16"/>
    </row>
    <row r="78" spans="1:10">
      <c r="A78" s="16"/>
      <c r="B78" s="16"/>
      <c r="C78" s="7"/>
      <c r="D78" s="7"/>
      <c r="E78" s="7" t="str">
        <f t="shared" si="4"/>
        <v/>
      </c>
      <c r="F78" s="5">
        <f t="shared" si="5"/>
        <v>0</v>
      </c>
      <c r="G78" s="6"/>
      <c r="H78" s="16"/>
      <c r="I78" s="7"/>
      <c r="J78" s="16"/>
    </row>
    <row r="79" spans="1:10">
      <c r="A79" s="16"/>
      <c r="B79" s="16"/>
      <c r="C79" s="7"/>
      <c r="D79" s="7"/>
      <c r="E79" s="7" t="str">
        <f t="shared" si="4"/>
        <v/>
      </c>
      <c r="F79" s="5">
        <f t="shared" si="5"/>
        <v>0</v>
      </c>
      <c r="G79" s="6"/>
      <c r="H79" s="16"/>
      <c r="I79" s="7"/>
      <c r="J79" s="16"/>
    </row>
    <row r="80" spans="1:10">
      <c r="A80" s="16"/>
      <c r="B80" s="16"/>
      <c r="C80" s="7"/>
      <c r="D80" s="7"/>
      <c r="E80" s="7" t="str">
        <f t="shared" si="4"/>
        <v/>
      </c>
      <c r="F80" s="5">
        <f t="shared" si="5"/>
        <v>0</v>
      </c>
      <c r="G80" s="6"/>
      <c r="H80" s="16"/>
      <c r="I80" s="7"/>
      <c r="J80" s="16"/>
    </row>
    <row r="81" spans="1:10">
      <c r="A81" s="16"/>
      <c r="B81" s="16"/>
      <c r="C81" s="7"/>
      <c r="D81" s="7"/>
      <c r="E81" s="7" t="str">
        <f t="shared" si="4"/>
        <v/>
      </c>
      <c r="F81" s="5">
        <f t="shared" si="5"/>
        <v>0</v>
      </c>
      <c r="G81" s="6"/>
      <c r="H81" s="16"/>
      <c r="I81" s="7"/>
      <c r="J81" s="16"/>
    </row>
    <row r="82" spans="1:10">
      <c r="A82" s="16"/>
      <c r="B82" s="16"/>
      <c r="C82" s="7"/>
      <c r="D82" s="7"/>
      <c r="E82" s="7" t="str">
        <f t="shared" si="4"/>
        <v/>
      </c>
      <c r="F82" s="5">
        <f t="shared" si="5"/>
        <v>0</v>
      </c>
      <c r="G82" s="6"/>
      <c r="H82" s="16"/>
      <c r="I82" s="7"/>
      <c r="J82" s="16"/>
    </row>
    <row r="83" spans="1:10">
      <c r="A83" s="16"/>
      <c r="B83" s="16"/>
      <c r="C83" s="7"/>
      <c r="D83" s="7"/>
      <c r="E83" s="7" t="str">
        <f t="shared" si="4"/>
        <v/>
      </c>
      <c r="F83" s="5">
        <f t="shared" si="5"/>
        <v>0</v>
      </c>
      <c r="G83" s="6"/>
      <c r="H83" s="16"/>
      <c r="I83" s="7"/>
      <c r="J83" s="16"/>
    </row>
  </sheetData>
  <mergeCells count="1">
    <mergeCell ref="A1:J1"/>
  </mergeCells>
  <conditionalFormatting sqref="F4:F83">
    <cfRule type="cellIs" dxfId="1" priority="1" operator="greaterThanOrEqual">
      <formula>1</formula>
    </cfRule>
  </conditionalFormatting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5"/>
  <sheetViews>
    <sheetView showGridLines="0" workbookViewId="0">
      <pane ySplit="3" topLeftCell="A4" activePane="bottomLeft" state="frozen"/>
      <selection pane="bottomLeft" activeCell="B4" sqref="B4"/>
    </sheetView>
  </sheetViews>
  <sheetFormatPr defaultRowHeight="14.45"/>
  <cols>
    <col min="1" max="1" width="14" customWidth="1"/>
    <col min="2" max="5" width="17" customWidth="1"/>
    <col min="6" max="7" width="15" customWidth="1"/>
    <col min="8" max="8" width="14" customWidth="1"/>
    <col min="9" max="9" width="20" customWidth="1"/>
    <col min="10" max="10" width="28" customWidth="1"/>
  </cols>
  <sheetData>
    <row r="1" spans="1:10" ht="30" customHeight="1">
      <c r="A1" s="18" t="s">
        <v>174</v>
      </c>
      <c r="B1" s="32"/>
      <c r="C1" s="32"/>
      <c r="D1" s="32"/>
      <c r="E1" s="32"/>
      <c r="F1" s="32"/>
      <c r="G1" s="32"/>
      <c r="H1" s="32"/>
      <c r="I1" s="32"/>
      <c r="J1" s="32"/>
    </row>
    <row r="3" spans="1:10">
      <c r="A3" s="17" t="s">
        <v>10</v>
      </c>
      <c r="B3" s="17" t="s">
        <v>175</v>
      </c>
      <c r="C3" s="17" t="s">
        <v>176</v>
      </c>
      <c r="D3" s="17" t="s">
        <v>177</v>
      </c>
      <c r="E3" s="17" t="s">
        <v>178</v>
      </c>
      <c r="F3" s="17" t="s">
        <v>179</v>
      </c>
      <c r="G3" s="17" t="s">
        <v>180</v>
      </c>
      <c r="H3" s="17" t="s">
        <v>5</v>
      </c>
      <c r="I3" s="17" t="s">
        <v>181</v>
      </c>
      <c r="J3" s="17" t="s">
        <v>42</v>
      </c>
    </row>
    <row r="4" spans="1:10">
      <c r="A4" s="13">
        <v>46235</v>
      </c>
      <c r="B4" s="7">
        <f>SUMIFS(Lançamentos!$H:$H,Lançamentos!$B:$B,A4,Lançamentos!$C:$C,"Receita")</f>
        <v>17261.86</v>
      </c>
      <c r="C4" s="7">
        <f>SUMIFS(Lançamentos!$I:$I,Lançamentos!$B:$B,A4,Lançamentos!$C:$C,"Receita")</f>
        <v>17632.86</v>
      </c>
      <c r="D4" s="7">
        <f>SUMIFS(Lançamentos!$H:$H,Lançamentos!$B:$B,A4,Lançamentos!$C:$C,"Despesa")</f>
        <v>12557.439999999999</v>
      </c>
      <c r="E4" s="7">
        <f>SUMIFS(Lançamentos!$I:$I,Lançamentos!$B:$B,A4,Lançamentos!$C:$C,"Despesa")</f>
        <v>12565.099999999999</v>
      </c>
      <c r="F4" s="7">
        <f t="shared" ref="F4:G4" si="0">B4-D4</f>
        <v>4704.4200000000019</v>
      </c>
      <c r="G4" s="7">
        <f t="shared" si="0"/>
        <v>5067.760000000002</v>
      </c>
      <c r="H4" s="5">
        <f t="shared" ref="H4" si="1">IFERROR(G4/C4,0)</f>
        <v>0.28740431217624379</v>
      </c>
      <c r="I4" s="5">
        <f t="shared" ref="I4" si="2">IFERROR(E4/C4,0)</f>
        <v>0.71259568782375626</v>
      </c>
      <c r="J4" s="16"/>
    </row>
    <row r="5" spans="1:10">
      <c r="A5" s="13">
        <v>46266</v>
      </c>
      <c r="B5" s="7">
        <f>SUMIFS(Lançamentos!$H:$H,Lançamentos!$B:$B,A5,Lançamentos!$C:$C,"Receita")</f>
        <v>0</v>
      </c>
      <c r="C5" s="7">
        <f>SUMIFS(Lançamentos!$I:$I,Lançamentos!$B:$B,A5,Lançamentos!$C:$C,"Receita")</f>
        <v>0</v>
      </c>
      <c r="D5" s="7">
        <f>SUMIFS(Lançamentos!$H:$H,Lançamentos!$B:$B,A5,Lançamentos!$C:$C,"Despesa")</f>
        <v>0</v>
      </c>
      <c r="E5" s="7">
        <f>SUMIFS(Lançamentos!$I:$I,Lançamentos!$B:$B,A5,Lançamentos!$C:$C,"Despesa")</f>
        <v>0</v>
      </c>
      <c r="F5" s="7">
        <f t="shared" ref="F5:F15" si="3">B5-D5</f>
        <v>0</v>
      </c>
      <c r="G5" s="7">
        <f t="shared" ref="G5:G15" si="4">C5-E5</f>
        <v>0</v>
      </c>
      <c r="H5" s="5">
        <f t="shared" ref="H5:H15" si="5">IFERROR(G5/C5,0)</f>
        <v>0</v>
      </c>
      <c r="I5" s="5">
        <f t="shared" ref="I5:I15" si="6">IFERROR(E5/C5,0)</f>
        <v>0</v>
      </c>
      <c r="J5" s="16"/>
    </row>
    <row r="6" spans="1:10">
      <c r="A6" s="13">
        <v>46296</v>
      </c>
      <c r="B6" s="7">
        <f>SUMIFS(Lançamentos!$H:$H,Lançamentos!$B:$B,A6,Lançamentos!$C:$C,"Receita")</f>
        <v>0</v>
      </c>
      <c r="C6" s="7">
        <f>SUMIFS(Lançamentos!$I:$I,Lançamentos!$B:$B,A6,Lançamentos!$C:$C,"Receita")</f>
        <v>0</v>
      </c>
      <c r="D6" s="7">
        <f>SUMIFS(Lançamentos!$H:$H,Lançamentos!$B:$B,A6,Lançamentos!$C:$C,"Despesa")</f>
        <v>0</v>
      </c>
      <c r="E6" s="7">
        <f>SUMIFS(Lançamentos!$I:$I,Lançamentos!$B:$B,A6,Lançamentos!$C:$C,"Despesa")</f>
        <v>0</v>
      </c>
      <c r="F6" s="7">
        <f t="shared" si="3"/>
        <v>0</v>
      </c>
      <c r="G6" s="7">
        <f t="shared" si="4"/>
        <v>0</v>
      </c>
      <c r="H6" s="5">
        <f t="shared" si="5"/>
        <v>0</v>
      </c>
      <c r="I6" s="5">
        <f t="shared" si="6"/>
        <v>0</v>
      </c>
      <c r="J6" s="16"/>
    </row>
    <row r="7" spans="1:10">
      <c r="A7" s="13">
        <v>46327</v>
      </c>
      <c r="B7" s="7">
        <f>SUMIFS(Lançamentos!$H:$H,Lançamentos!$B:$B,A7,Lançamentos!$C:$C,"Receita")</f>
        <v>0</v>
      </c>
      <c r="C7" s="7">
        <f>SUMIFS(Lançamentos!$I:$I,Lançamentos!$B:$B,A7,Lançamentos!$C:$C,"Receita")</f>
        <v>0</v>
      </c>
      <c r="D7" s="7">
        <f>SUMIFS(Lançamentos!$H:$H,Lançamentos!$B:$B,A7,Lançamentos!$C:$C,"Despesa")</f>
        <v>0</v>
      </c>
      <c r="E7" s="7">
        <f>SUMIFS(Lançamentos!$I:$I,Lançamentos!$B:$B,A7,Lançamentos!$C:$C,"Despesa")</f>
        <v>0</v>
      </c>
      <c r="F7" s="7">
        <f t="shared" si="3"/>
        <v>0</v>
      </c>
      <c r="G7" s="7">
        <f t="shared" si="4"/>
        <v>0</v>
      </c>
      <c r="H7" s="5">
        <f t="shared" si="5"/>
        <v>0</v>
      </c>
      <c r="I7" s="5">
        <f t="shared" si="6"/>
        <v>0</v>
      </c>
      <c r="J7" s="16"/>
    </row>
    <row r="8" spans="1:10">
      <c r="A8" s="13">
        <v>46357</v>
      </c>
      <c r="B8" s="7">
        <f>SUMIFS(Lançamentos!$H:$H,Lançamentos!$B:$B,A8,Lançamentos!$C:$C,"Receita")</f>
        <v>0</v>
      </c>
      <c r="C8" s="7">
        <f>SUMIFS(Lançamentos!$I:$I,Lançamentos!$B:$B,A8,Lançamentos!$C:$C,"Receita")</f>
        <v>0</v>
      </c>
      <c r="D8" s="7">
        <f>SUMIFS(Lançamentos!$H:$H,Lançamentos!$B:$B,A8,Lançamentos!$C:$C,"Despesa")</f>
        <v>0</v>
      </c>
      <c r="E8" s="7">
        <f>SUMIFS(Lançamentos!$I:$I,Lançamentos!$B:$B,A8,Lançamentos!$C:$C,"Despesa")</f>
        <v>0</v>
      </c>
      <c r="F8" s="7">
        <f t="shared" si="3"/>
        <v>0</v>
      </c>
      <c r="G8" s="7">
        <f t="shared" si="4"/>
        <v>0</v>
      </c>
      <c r="H8" s="5">
        <f t="shared" si="5"/>
        <v>0</v>
      </c>
      <c r="I8" s="5">
        <f t="shared" si="6"/>
        <v>0</v>
      </c>
      <c r="J8" s="16"/>
    </row>
    <row r="9" spans="1:10">
      <c r="A9" s="13">
        <v>46388</v>
      </c>
      <c r="B9" s="7">
        <f>SUMIFS(Lançamentos!$H:$H,Lançamentos!$B:$B,A9,Lançamentos!$C:$C,"Receita")</f>
        <v>0</v>
      </c>
      <c r="C9" s="7">
        <f>SUMIFS(Lançamentos!$I:$I,Lançamentos!$B:$B,A9,Lançamentos!$C:$C,"Receita")</f>
        <v>0</v>
      </c>
      <c r="D9" s="7">
        <f>SUMIFS(Lançamentos!$H:$H,Lançamentos!$B:$B,A9,Lançamentos!$C:$C,"Despesa")</f>
        <v>0</v>
      </c>
      <c r="E9" s="7">
        <f>SUMIFS(Lançamentos!$I:$I,Lançamentos!$B:$B,A9,Lançamentos!$C:$C,"Despesa")</f>
        <v>0</v>
      </c>
      <c r="F9" s="7">
        <f t="shared" si="3"/>
        <v>0</v>
      </c>
      <c r="G9" s="7">
        <f t="shared" si="4"/>
        <v>0</v>
      </c>
      <c r="H9" s="5">
        <f t="shared" si="5"/>
        <v>0</v>
      </c>
      <c r="I9" s="5">
        <f t="shared" si="6"/>
        <v>0</v>
      </c>
      <c r="J9" s="16"/>
    </row>
    <row r="10" spans="1:10">
      <c r="A10" s="13">
        <v>46419</v>
      </c>
      <c r="B10" s="7">
        <f>SUMIFS(Lançamentos!$H:$H,Lançamentos!$B:$B,A10,Lançamentos!$C:$C,"Receita")</f>
        <v>0</v>
      </c>
      <c r="C10" s="7">
        <f>SUMIFS(Lançamentos!$I:$I,Lançamentos!$B:$B,A10,Lançamentos!$C:$C,"Receita")</f>
        <v>0</v>
      </c>
      <c r="D10" s="7">
        <f>SUMIFS(Lançamentos!$H:$H,Lançamentos!$B:$B,A10,Lançamentos!$C:$C,"Despesa")</f>
        <v>0</v>
      </c>
      <c r="E10" s="7">
        <f>SUMIFS(Lançamentos!$I:$I,Lançamentos!$B:$B,A10,Lançamentos!$C:$C,"Despesa")</f>
        <v>0</v>
      </c>
      <c r="F10" s="7">
        <f t="shared" si="3"/>
        <v>0</v>
      </c>
      <c r="G10" s="7">
        <f t="shared" si="4"/>
        <v>0</v>
      </c>
      <c r="H10" s="5">
        <f t="shared" si="5"/>
        <v>0</v>
      </c>
      <c r="I10" s="5">
        <f t="shared" si="6"/>
        <v>0</v>
      </c>
      <c r="J10" s="16"/>
    </row>
    <row r="11" spans="1:10">
      <c r="A11" s="13">
        <v>46447</v>
      </c>
      <c r="B11" s="7">
        <f>SUMIFS(Lançamentos!$H:$H,Lançamentos!$B:$B,A11,Lançamentos!$C:$C,"Receita")</f>
        <v>0</v>
      </c>
      <c r="C11" s="7">
        <f>SUMIFS(Lançamentos!$I:$I,Lançamentos!$B:$B,A11,Lançamentos!$C:$C,"Receita")</f>
        <v>0</v>
      </c>
      <c r="D11" s="7">
        <f>SUMIFS(Lançamentos!$H:$H,Lançamentos!$B:$B,A11,Lançamentos!$C:$C,"Despesa")</f>
        <v>0</v>
      </c>
      <c r="E11" s="7">
        <f>SUMIFS(Lançamentos!$I:$I,Lançamentos!$B:$B,A11,Lançamentos!$C:$C,"Despesa")</f>
        <v>0</v>
      </c>
      <c r="F11" s="7">
        <f t="shared" si="3"/>
        <v>0</v>
      </c>
      <c r="G11" s="7">
        <f t="shared" si="4"/>
        <v>0</v>
      </c>
      <c r="H11" s="5">
        <f t="shared" si="5"/>
        <v>0</v>
      </c>
      <c r="I11" s="5">
        <f t="shared" si="6"/>
        <v>0</v>
      </c>
      <c r="J11" s="16"/>
    </row>
    <row r="12" spans="1:10">
      <c r="A12" s="13">
        <v>46478</v>
      </c>
      <c r="B12" s="7">
        <f>SUMIFS(Lançamentos!$H:$H,Lançamentos!$B:$B,A12,Lançamentos!$C:$C,"Receita")</f>
        <v>0</v>
      </c>
      <c r="C12" s="7">
        <f>SUMIFS(Lançamentos!$I:$I,Lançamentos!$B:$B,A12,Lançamentos!$C:$C,"Receita")</f>
        <v>0</v>
      </c>
      <c r="D12" s="7">
        <f>SUMIFS(Lançamentos!$H:$H,Lançamentos!$B:$B,A12,Lançamentos!$C:$C,"Despesa")</f>
        <v>0</v>
      </c>
      <c r="E12" s="7">
        <f>SUMIFS(Lançamentos!$I:$I,Lançamentos!$B:$B,A12,Lançamentos!$C:$C,"Despesa")</f>
        <v>0</v>
      </c>
      <c r="F12" s="7">
        <f t="shared" si="3"/>
        <v>0</v>
      </c>
      <c r="G12" s="7">
        <f t="shared" si="4"/>
        <v>0</v>
      </c>
      <c r="H12" s="5">
        <f t="shared" si="5"/>
        <v>0</v>
      </c>
      <c r="I12" s="5">
        <f t="shared" si="6"/>
        <v>0</v>
      </c>
      <c r="J12" s="16"/>
    </row>
    <row r="13" spans="1:10">
      <c r="A13" s="13">
        <v>46508</v>
      </c>
      <c r="B13" s="7">
        <f>SUMIFS(Lançamentos!$H:$H,Lançamentos!$B:$B,A13,Lançamentos!$C:$C,"Receita")</f>
        <v>0</v>
      </c>
      <c r="C13" s="7">
        <f>SUMIFS(Lançamentos!$I:$I,Lançamentos!$B:$B,A13,Lançamentos!$C:$C,"Receita")</f>
        <v>0</v>
      </c>
      <c r="D13" s="7">
        <f>SUMIFS(Lançamentos!$H:$H,Lançamentos!$B:$B,A13,Lançamentos!$C:$C,"Despesa")</f>
        <v>0</v>
      </c>
      <c r="E13" s="7">
        <f>SUMIFS(Lançamentos!$I:$I,Lançamentos!$B:$B,A13,Lançamentos!$C:$C,"Despesa")</f>
        <v>0</v>
      </c>
      <c r="F13" s="7">
        <f t="shared" si="3"/>
        <v>0</v>
      </c>
      <c r="G13" s="7">
        <f t="shared" si="4"/>
        <v>0</v>
      </c>
      <c r="H13" s="5">
        <f t="shared" si="5"/>
        <v>0</v>
      </c>
      <c r="I13" s="5">
        <f t="shared" si="6"/>
        <v>0</v>
      </c>
      <c r="J13" s="16"/>
    </row>
    <row r="14" spans="1:10">
      <c r="A14" s="13">
        <v>46539</v>
      </c>
      <c r="B14" s="7">
        <f>SUMIFS(Lançamentos!$H:$H,Lançamentos!$B:$B,A14,Lançamentos!$C:$C,"Receita")</f>
        <v>0</v>
      </c>
      <c r="C14" s="7">
        <f>SUMIFS(Lançamentos!$I:$I,Lançamentos!$B:$B,A14,Lançamentos!$C:$C,"Receita")</f>
        <v>0</v>
      </c>
      <c r="D14" s="7">
        <f>SUMIFS(Lançamentos!$H:$H,Lançamentos!$B:$B,A14,Lançamentos!$C:$C,"Despesa")</f>
        <v>0</v>
      </c>
      <c r="E14" s="7">
        <f>SUMIFS(Lançamentos!$I:$I,Lançamentos!$B:$B,A14,Lançamentos!$C:$C,"Despesa")</f>
        <v>0</v>
      </c>
      <c r="F14" s="7">
        <f t="shared" si="3"/>
        <v>0</v>
      </c>
      <c r="G14" s="7">
        <f t="shared" si="4"/>
        <v>0</v>
      </c>
      <c r="H14" s="5">
        <f t="shared" si="5"/>
        <v>0</v>
      </c>
      <c r="I14" s="5">
        <f t="shared" si="6"/>
        <v>0</v>
      </c>
      <c r="J14" s="16"/>
    </row>
    <row r="15" spans="1:10">
      <c r="A15" s="13">
        <v>46569</v>
      </c>
      <c r="B15" s="7">
        <f>SUMIFS(Lançamentos!$H:$H,Lançamentos!$B:$B,A15,Lançamentos!$C:$C,"Receita")</f>
        <v>0</v>
      </c>
      <c r="C15" s="7">
        <f>SUMIFS(Lançamentos!$I:$I,Lançamentos!$B:$B,A15,Lançamentos!$C:$C,"Receita")</f>
        <v>0</v>
      </c>
      <c r="D15" s="7">
        <f>SUMIFS(Lançamentos!$H:$H,Lançamentos!$B:$B,A15,Lançamentos!$C:$C,"Despesa")</f>
        <v>0</v>
      </c>
      <c r="E15" s="7">
        <f>SUMIFS(Lançamentos!$I:$I,Lançamentos!$B:$B,A15,Lançamentos!$C:$C,"Despesa")</f>
        <v>0</v>
      </c>
      <c r="F15" s="7">
        <f t="shared" si="3"/>
        <v>0</v>
      </c>
      <c r="G15" s="7">
        <f t="shared" si="4"/>
        <v>0</v>
      </c>
      <c r="H15" s="5">
        <f t="shared" si="5"/>
        <v>0</v>
      </c>
      <c r="I15" s="5">
        <f t="shared" si="6"/>
        <v>0</v>
      </c>
      <c r="J15" s="16"/>
    </row>
  </sheetData>
  <mergeCells count="1">
    <mergeCell ref="A1:J1"/>
  </mergeCells>
  <conditionalFormatting sqref="G4:G15">
    <cfRule type="cellIs" dxfId="0" priority="1" operator="lessThan">
      <formula>0</formula>
    </cfRule>
  </conditionalFormatting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8"/>
  <sheetViews>
    <sheetView showGridLines="0" workbookViewId="0">
      <pane ySplit="3" topLeftCell="A4" activePane="bottomLeft" state="frozen"/>
      <selection pane="bottomLeft" sqref="A1:H1"/>
    </sheetView>
  </sheetViews>
  <sheetFormatPr defaultRowHeight="14.45"/>
  <cols>
    <col min="1" max="1" width="12" customWidth="1"/>
    <col min="2" max="5" width="17" customWidth="1"/>
    <col min="6" max="7" width="15" customWidth="1"/>
    <col min="8" max="8" width="14" customWidth="1"/>
  </cols>
  <sheetData>
    <row r="1" spans="1:8" ht="30" customHeight="1">
      <c r="A1" s="18" t="s">
        <v>182</v>
      </c>
      <c r="B1" s="32"/>
      <c r="C1" s="32"/>
      <c r="D1" s="32"/>
      <c r="E1" s="32"/>
      <c r="F1" s="32"/>
      <c r="G1" s="32"/>
      <c r="H1" s="32"/>
    </row>
    <row r="3" spans="1:8">
      <c r="A3" s="17" t="s">
        <v>183</v>
      </c>
      <c r="B3" s="17" t="s">
        <v>175</v>
      </c>
      <c r="C3" s="17" t="s">
        <v>176</v>
      </c>
      <c r="D3" s="17" t="s">
        <v>177</v>
      </c>
      <c r="E3" s="17" t="s">
        <v>178</v>
      </c>
      <c r="F3" s="17" t="s">
        <v>179</v>
      </c>
      <c r="G3" s="17" t="s">
        <v>180</v>
      </c>
      <c r="H3" s="17" t="s">
        <v>5</v>
      </c>
    </row>
    <row r="4" spans="1:8">
      <c r="A4" s="16">
        <v>2026</v>
      </c>
      <c r="B4" s="7">
        <f>SUMIFS('Planejamento Mensal'!$B:$B,'Planejamento Mensal'!$A:$A,"*2026")</f>
        <v>0</v>
      </c>
      <c r="C4" s="7">
        <f>SUMIFS('Planejamento Mensal'!$C:$C,'Planejamento Mensal'!$A:$A,"*2026")</f>
        <v>0</v>
      </c>
      <c r="D4" s="7">
        <f>SUMIFS('Planejamento Mensal'!$D:$D,'Planejamento Mensal'!$A:$A,"*2026")</f>
        <v>0</v>
      </c>
      <c r="E4" s="7">
        <f>SUMIFS('Planejamento Mensal'!$E:$E,'Planejamento Mensal'!$A:$A,"*2026")</f>
        <v>0</v>
      </c>
      <c r="F4" s="7">
        <f t="shared" ref="F4:G8" si="0">B4-D4</f>
        <v>0</v>
      </c>
      <c r="G4" s="7">
        <f t="shared" si="0"/>
        <v>0</v>
      </c>
      <c r="H4" s="5">
        <f>IFERROR(G4/C4,0)</f>
        <v>0</v>
      </c>
    </row>
    <row r="5" spans="1:8">
      <c r="A5" s="16">
        <v>2027</v>
      </c>
      <c r="B5" s="7">
        <f>SUMIFS('Planejamento Mensal'!$B:$B,'Planejamento Mensal'!$A:$A,"*2027")</f>
        <v>0</v>
      </c>
      <c r="C5" s="7">
        <f>SUMIFS('Planejamento Mensal'!$C:$C,'Planejamento Mensal'!$A:$A,"*2027")</f>
        <v>0</v>
      </c>
      <c r="D5" s="7">
        <f>SUMIFS('Planejamento Mensal'!$D:$D,'Planejamento Mensal'!$A:$A,"*2027")</f>
        <v>0</v>
      </c>
      <c r="E5" s="7">
        <f>SUMIFS('Planejamento Mensal'!$E:$E,'Planejamento Mensal'!$A:$A,"*2027")</f>
        <v>0</v>
      </c>
      <c r="F5" s="7">
        <f t="shared" si="0"/>
        <v>0</v>
      </c>
      <c r="G5" s="7">
        <f t="shared" si="0"/>
        <v>0</v>
      </c>
      <c r="H5" s="5">
        <f>IFERROR(G5/C5,0)</f>
        <v>0</v>
      </c>
    </row>
    <row r="6" spans="1:8">
      <c r="A6" s="16">
        <v>2028</v>
      </c>
      <c r="B6" s="7">
        <f>SUMIFS('Planejamento Mensal'!$B:$B,'Planejamento Mensal'!$A:$A,"*2028")</f>
        <v>0</v>
      </c>
      <c r="C6" s="7">
        <f>SUMIFS('Planejamento Mensal'!$C:$C,'Planejamento Mensal'!$A:$A,"*2028")</f>
        <v>0</v>
      </c>
      <c r="D6" s="7">
        <f>SUMIFS('Planejamento Mensal'!$D:$D,'Planejamento Mensal'!$A:$A,"*2028")</f>
        <v>0</v>
      </c>
      <c r="E6" s="7">
        <f>SUMIFS('Planejamento Mensal'!$E:$E,'Planejamento Mensal'!$A:$A,"*2028")</f>
        <v>0</v>
      </c>
      <c r="F6" s="7">
        <f t="shared" si="0"/>
        <v>0</v>
      </c>
      <c r="G6" s="7">
        <f t="shared" si="0"/>
        <v>0</v>
      </c>
      <c r="H6" s="5">
        <f>IFERROR(G6/C6,0)</f>
        <v>0</v>
      </c>
    </row>
    <row r="7" spans="1:8">
      <c r="A7" s="16">
        <v>2029</v>
      </c>
      <c r="B7" s="7">
        <f>SUMIFS('Planejamento Mensal'!$B:$B,'Planejamento Mensal'!$A:$A,"*2029")</f>
        <v>0</v>
      </c>
      <c r="C7" s="7">
        <f>SUMIFS('Planejamento Mensal'!$C:$C,'Planejamento Mensal'!$A:$A,"*2029")</f>
        <v>0</v>
      </c>
      <c r="D7" s="7">
        <f>SUMIFS('Planejamento Mensal'!$D:$D,'Planejamento Mensal'!$A:$A,"*2029")</f>
        <v>0</v>
      </c>
      <c r="E7" s="7">
        <f>SUMIFS('Planejamento Mensal'!$E:$E,'Planejamento Mensal'!$A:$A,"*2029")</f>
        <v>0</v>
      </c>
      <c r="F7" s="7">
        <f t="shared" si="0"/>
        <v>0</v>
      </c>
      <c r="G7" s="7">
        <f t="shared" si="0"/>
        <v>0</v>
      </c>
      <c r="H7" s="5">
        <f>IFERROR(G7/C7,0)</f>
        <v>0</v>
      </c>
    </row>
    <row r="8" spans="1:8">
      <c r="A8" s="16">
        <v>2030</v>
      </c>
      <c r="B8" s="7">
        <f>SUMIFS('Planejamento Mensal'!$B:$B,'Planejamento Mensal'!$A:$A,"*2030")</f>
        <v>0</v>
      </c>
      <c r="C8" s="7">
        <f>SUMIFS('Planejamento Mensal'!$C:$C,'Planejamento Mensal'!$A:$A,"*2030")</f>
        <v>0</v>
      </c>
      <c r="D8" s="7">
        <f>SUMIFS('Planejamento Mensal'!$D:$D,'Planejamento Mensal'!$A:$A,"*2030")</f>
        <v>0</v>
      </c>
      <c r="E8" s="7">
        <f>SUMIFS('Planejamento Mensal'!$E:$E,'Planejamento Mensal'!$A:$A,"*2030")</f>
        <v>0</v>
      </c>
      <c r="F8" s="7">
        <f t="shared" si="0"/>
        <v>0</v>
      </c>
      <c r="G8" s="7">
        <f t="shared" si="0"/>
        <v>0</v>
      </c>
      <c r="H8" s="5">
        <f>IFERROR(G8/C8,0)</f>
        <v>0</v>
      </c>
    </row>
  </sheetData>
  <mergeCells count="1">
    <mergeCell ref="A1:H1"/>
  </mergeCells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25"/>
  <sheetViews>
    <sheetView showGridLines="0" workbookViewId="0">
      <pane ySplit="3" topLeftCell="A4" activePane="bottomLeft" state="frozen"/>
      <selection pane="bottomLeft" activeCell="D23" sqref="D23"/>
    </sheetView>
  </sheetViews>
  <sheetFormatPr defaultRowHeight="14.45"/>
  <cols>
    <col min="1" max="5" width="20" customWidth="1"/>
  </cols>
  <sheetData>
    <row r="1" spans="1:5" ht="30" customHeight="1">
      <c r="A1" s="18" t="s">
        <v>184</v>
      </c>
      <c r="B1" s="32"/>
      <c r="C1" s="32"/>
      <c r="D1" s="32"/>
      <c r="E1" s="32"/>
    </row>
    <row r="2" spans="1:5">
      <c r="A2" s="9" t="s">
        <v>35</v>
      </c>
      <c r="B2" s="9" t="s">
        <v>14</v>
      </c>
      <c r="C2" s="9" t="s">
        <v>37</v>
      </c>
      <c r="D2" s="9" t="s">
        <v>41</v>
      </c>
      <c r="E2" s="9" t="s">
        <v>149</v>
      </c>
    </row>
    <row r="3" spans="1:5">
      <c r="A3" s="15" t="s">
        <v>49</v>
      </c>
      <c r="B3" s="15" t="s">
        <v>15</v>
      </c>
      <c r="C3" s="15" t="s">
        <v>185</v>
      </c>
      <c r="D3" s="15" t="s">
        <v>39</v>
      </c>
      <c r="E3" s="15" t="s">
        <v>153</v>
      </c>
    </row>
    <row r="4" spans="1:5">
      <c r="A4" s="15" t="s">
        <v>44</v>
      </c>
      <c r="B4" s="15" t="s">
        <v>16</v>
      </c>
      <c r="C4" s="15" t="s">
        <v>59</v>
      </c>
      <c r="D4" s="15" t="s">
        <v>40</v>
      </c>
      <c r="E4" s="15" t="s">
        <v>156</v>
      </c>
    </row>
    <row r="5" spans="1:5">
      <c r="A5" s="15"/>
      <c r="B5" s="15" t="s">
        <v>17</v>
      </c>
      <c r="C5" s="15" t="s">
        <v>62</v>
      </c>
      <c r="D5" s="15" t="s">
        <v>48</v>
      </c>
      <c r="E5" s="15" t="s">
        <v>186</v>
      </c>
    </row>
    <row r="6" spans="1:5">
      <c r="A6" s="15"/>
      <c r="B6" s="15" t="s">
        <v>18</v>
      </c>
      <c r="C6" s="15" t="s">
        <v>77</v>
      </c>
      <c r="D6" s="15" t="s">
        <v>187</v>
      </c>
      <c r="E6" s="15"/>
    </row>
    <row r="7" spans="1:5">
      <c r="A7" s="15"/>
      <c r="B7" s="15" t="s">
        <v>19</v>
      </c>
      <c r="C7" s="15" t="s">
        <v>46</v>
      </c>
      <c r="D7" s="15"/>
      <c r="E7" s="15"/>
    </row>
    <row r="8" spans="1:5">
      <c r="A8" s="15"/>
      <c r="B8" s="15" t="s">
        <v>20</v>
      </c>
      <c r="C8" s="15" t="s">
        <v>66</v>
      </c>
      <c r="D8" s="15"/>
      <c r="E8" s="15"/>
    </row>
    <row r="9" spans="1:5">
      <c r="A9" s="15"/>
      <c r="B9" s="15" t="s">
        <v>21</v>
      </c>
      <c r="C9" s="15"/>
      <c r="D9" s="15"/>
      <c r="E9" s="15"/>
    </row>
    <row r="10" spans="1:5">
      <c r="A10" s="15"/>
      <c r="B10" s="15" t="s">
        <v>96</v>
      </c>
      <c r="C10" s="15"/>
      <c r="D10" s="15"/>
      <c r="E10" s="15"/>
    </row>
    <row r="11" spans="1:5">
      <c r="A11" s="15"/>
      <c r="B11" s="15" t="s">
        <v>68</v>
      </c>
      <c r="C11" s="15"/>
      <c r="D11" s="15"/>
      <c r="E11" s="15"/>
    </row>
    <row r="12" spans="1:5">
      <c r="A12" s="15"/>
      <c r="B12" s="15" t="s">
        <v>91</v>
      </c>
      <c r="C12" s="15"/>
      <c r="D12" s="15"/>
      <c r="E12" s="15"/>
    </row>
    <row r="13" spans="1:5">
      <c r="A13" s="15"/>
      <c r="B13" s="15" t="s">
        <v>70</v>
      </c>
      <c r="C13" s="15"/>
      <c r="D13" s="15"/>
      <c r="E13" s="15"/>
    </row>
    <row r="14" spans="1:5">
      <c r="A14" s="15"/>
      <c r="B14" s="15" t="s">
        <v>79</v>
      </c>
      <c r="C14" s="15"/>
      <c r="D14" s="15"/>
      <c r="E14" s="15"/>
    </row>
    <row r="15" spans="1:5">
      <c r="A15" s="15"/>
      <c r="B15" s="15" t="s">
        <v>80</v>
      </c>
      <c r="C15" s="15"/>
      <c r="D15" s="15"/>
      <c r="E15" s="15"/>
    </row>
    <row r="16" spans="1:5">
      <c r="A16" s="15"/>
      <c r="B16" s="15" t="s">
        <v>188</v>
      </c>
      <c r="C16" s="15"/>
      <c r="D16" s="15"/>
      <c r="E16" s="15"/>
    </row>
    <row r="17" spans="2:2">
      <c r="B17" s="15" t="s">
        <v>61</v>
      </c>
    </row>
    <row r="18" spans="2:2">
      <c r="B18" s="15" t="s">
        <v>22</v>
      </c>
    </row>
    <row r="19" spans="2:2">
      <c r="B19" s="15" t="s">
        <v>23</v>
      </c>
    </row>
    <row r="20" spans="2:2">
      <c r="B20" s="15" t="s">
        <v>24</v>
      </c>
    </row>
    <row r="21" spans="2:2">
      <c r="B21" s="15" t="s">
        <v>51</v>
      </c>
    </row>
    <row r="22" spans="2:2">
      <c r="B22" s="15" t="s">
        <v>54</v>
      </c>
    </row>
    <row r="23" spans="2:2">
      <c r="B23" s="15" t="s">
        <v>25</v>
      </c>
    </row>
    <row r="24" spans="2:2">
      <c r="B24" s="15" t="s">
        <v>107</v>
      </c>
    </row>
    <row r="25" spans="2:2">
      <c r="B25" s="15" t="s">
        <v>108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Usuário Convidado</cp:lastModifiedBy>
  <cp:revision/>
  <dcterms:created xsi:type="dcterms:W3CDTF">2026-09-30T12:36:07Z</dcterms:created>
  <dcterms:modified xsi:type="dcterms:W3CDTF">2026-10-03T23:01:23Z</dcterms:modified>
  <cp:category/>
  <cp:contentStatus/>
</cp:coreProperties>
</file>